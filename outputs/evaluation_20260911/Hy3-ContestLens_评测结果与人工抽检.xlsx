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ca362bb2c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ba4e7c4eb274ad8"/>
    <x:sheet xmlns:r="http://schemas.openxmlformats.org/officeDocument/2006/relationships" name="难度分层" sheetId="2" r:id="Rd9941ce5745d4674"/>
    <x:sheet xmlns:r="http://schemas.openxmlformats.org/officeDocument/2006/relationships" name="人工抽检" sheetId="3" r:id="R1ffc2bccec644e25"/>
    <x:sheet xmlns:r="http://schemas.openxmlformats.org/officeDocument/2006/relationships" name="版本验证" sheetId="4" r:id="R0b41da69aee84848"/>
    <x:sheet xmlns:r="http://schemas.openxmlformats.org/officeDocument/2006/relationships" name="运行明细" sheetId="5" r:id="R80fee80035364835"/>
    <x:sheet xmlns:r="http://schemas.openxmlformats.org/officeDocument/2006/relationships" name="题目覆盖" sheetId="6" r:id="Rca4f6f9e7b024b06"/>
    <x:sheet xmlns:r="http://schemas.openxmlformats.org/officeDocument/2006/relationships" name="口径说明" sheetId="7" r:id="Ra11eeab3b1c14c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.00"/>
    <x:numFmt numFmtId="202" formatCode="yyyy-mm-dd hh:mm"/>
    <x:numFmt numFmtId="203" formatCode="0.0"/>
    <x:numFmt numFmtId="204" formatCode="#,##0"/>
    <x:numFmt numFmtId="205" formatCode="0"/>
  </x:numFmts>
  <x:fonts count="8">
    <x:font>
      <x:sz val="11"/>
      <x:name val="Carlito"/>
    </x:font>
    <x:font>
      <x:sz val="10"/>
      <x:color rgb="FF17212B"/>
      <x:name val="Microsoft YaHei"/>
    </x:font>
    <x:font>
      <x:b/>
      <x:sz val="16"/>
      <x:color rgb="FF17324D"/>
      <x:name val="Microsoft YaHei"/>
    </x:font>
    <x:font>
      <x:i/>
      <x:sz val="10"/>
      <x:color rgb="FF5F6B76"/>
      <x:name val="Microsoft YaHei"/>
    </x:font>
    <x:font>
      <x:b/>
      <x:sz val="11"/>
      <x:color rgb="FF17324D"/>
      <x:name val="Microsoft YaHei"/>
    </x:font>
    <x:font>
      <x:b/>
      <x:sz val="10"/>
      <x:color rgb="FFFFFFFF"/>
      <x:name val="Microsoft YaHei"/>
    </x:font>
    <x:font>
      <x:b/>
      <x:sz val="10"/>
      <x:color rgb="FFB26A00"/>
      <x:name val="Microsoft YaHei"/>
    </x:font>
    <x:font>
      <x:b/>
      <x:sz val="10"/>
      <x:color rgb="FF17324D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F3F5F7"/>
      </x:patternFill>
    </x:fill>
  </x:fills>
  <x:borders count="8">
    <x:border/>
    <x:border>
      <x:bottom style="thin">
        <x:color rgb="FF2F6B8A"/>
      </x:bottom>
    </x:border>
    <x:border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bottom style="medium">
        <x:color rgb="FF17324D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5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6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7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6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201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0"/>
    </x:xf>
    <x:xf numFmtId="0" fontId="1" fillId="0" borderId="6" xfId="0" applyNumberFormat="1" applyFont="1" applyFill="1" applyBorder="1" applyAlignment="1">
      <x:alignment vertical="center" wrapText="0"/>
    </x:xf>
    <x:xf numFmtId="0" fontId="1" fillId="0" borderId="7" xfId="0" applyNumberFormat="1" applyFont="1" applyFill="1" applyBorder="1" applyAlignment="1">
      <x:alignment vertical="center" wrapText="0"/>
    </x:xf>
    <x:xf numFmtId="202" fontId="1" fillId="0" borderId="5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204" fontId="1" fillId="0" borderId="5" xfId="0" applyNumberFormat="1" applyFont="1" applyFill="1" applyBorder="1" applyAlignment="1">
      <x:alignment vertical="center"/>
    </x:xf>
    <x:xf numFmtId="204" fontId="1" fillId="0" borderId="6" xfId="0" applyNumberFormat="1" applyFont="1" applyFill="1" applyBorder="1" applyAlignment="1">
      <x:alignment vertical="center"/>
    </x:xf>
    <x:xf numFmtId="204" fontId="1" fillId="0" borderId="7" xfId="0" applyNumberFormat="1" applyFont="1" applyFill="1" applyBorder="1" applyAlignment="1">
      <x:alignment vertical="center"/>
    </x:xf>
    <x:xf numFmtId="205" fontId="1" fillId="0" borderId="5" xfId="0" applyNumberFormat="1" applyFont="1" applyFill="1" applyBorder="1" applyAlignment="1">
      <x:alignment vertical="center"/>
    </x:xf>
    <x:xf numFmtId="205" fontId="1" fillId="0" borderId="6" xfId="0" applyNumberFormat="1" applyFont="1" applyFill="1" applyBorder="1" applyAlignment="1">
      <x:alignment vertical="center"/>
    </x:xf>
    <x:xf numFmtId="205" fontId="1" fillId="0" borderId="7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B26A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03f3599fed4605" /><Relationship Type="http://schemas.openxmlformats.org/officeDocument/2006/relationships/theme" Target="/xl/theme/theme1.xml" Id="Rd1b21a5b59ab4b54" /><Relationship Type="http://schemas.microsoft.com/office/2022/11/relationships/FeaturePropertyBag" Target="/xl/featurePropertyBag/featurePropertyBag.xml" Id="R8fb25b2d3d224b7e" /><Relationship Type="http://schemas.openxmlformats.org/officeDocument/2006/relationships/sharedStrings" Target="/xl/sharedStrings.xml" Id="R32013cc9a35441ca" /><Relationship Type="http://schemas.openxmlformats.org/officeDocument/2006/relationships/worksheet" Target="/xl/worksheets/sheet1.xml" Id="R0ba4e7c4eb274ad8" /><Relationship Type="http://schemas.openxmlformats.org/officeDocument/2006/relationships/worksheet" Target="/xl/worksheets/sheet2.xml" Id="Rd9941ce5745d4674" /><Relationship Type="http://schemas.openxmlformats.org/officeDocument/2006/relationships/worksheet" Target="/xl/worksheets/sheet3.xml" Id="R1ffc2bccec644e25" /><Relationship Type="http://schemas.openxmlformats.org/officeDocument/2006/relationships/worksheet" Target="/xl/worksheets/sheet4.xml" Id="R0b41da69aee84848" /><Relationship Type="http://schemas.openxmlformats.org/officeDocument/2006/relationships/worksheet" Target="/xl/worksheets/sheet5.xml" Id="R80fee80035364835" /><Relationship Type="http://schemas.openxmlformats.org/officeDocument/2006/relationships/worksheet" Target="/xl/worksheets/sheet6.xml" Id="Rca4f6f9e7b024b06" /><Relationship Type="http://schemas.openxmlformats.org/officeDocument/2006/relationships/worksheet" Target="/xl/worksheets/sheet7.xml" Id="Ra11eeab3b1c14c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ea1586cd4b42af" /><Relationship Type="http://schemas.openxmlformats.org/officeDocument/2006/relationships/chart" Target="/xl/drawings/charts/chart2.xml" Id="Rc8337c1e897f47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各难度题目级覆盖率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题目答案覆盖率</c:v>
          </c:tx>
          <c:spPr>
            <a:ln xmlns:a="http://schemas.openxmlformats.org/drawingml/2006/main" w="19050">
              <a:solidFill>
                <a:srgbClr val="2F6B8A"/>
              </a:solidFill>
              <a:prstDash val="solid"/>
            </a:ln>
          </c:spPr>
          <c:marker>
            <c:symbol val="none"/>
          </c:marker>
          <c:cat>
            <c:strRef>
              <c:f>'难度分层'!$A$2:$A$9</c:f>
              <c:strCache>
                <c:ptCount val="0"/>
              </c:strCache>
            </c:strRef>
          </c:cat>
          <c:val>
            <c:numRef>
              <c:f>'难度分层'!$I$2:$I$9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题目严格成功覆盖率</c:v>
          </c:tx>
          <c:spPr>
            <a:ln xmlns:a="http://schemas.openxmlformats.org/drawingml/2006/main" w="19050">
              <a:solidFill>
                <a:srgbClr val="B42318"/>
              </a:solidFill>
              <a:prstDash val="solid"/>
            </a:ln>
          </c:spPr>
          <c:marker>
            <c:symbol val="none"/>
          </c:marker>
          <c:cat>
            <c:strRef>
              <c:f>'难度分层'!$A$2:$A$9</c:f>
              <c:strCache>
                <c:ptCount val="0"/>
              </c:strCache>
            </c:strRef>
          </c:cat>
          <c:val>
            <c:numRef>
              <c:f>'难度分层'!$K$2:$K$9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非严格成功记录错误分布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数量</c:v>
          </c:tx>
          <c:spPr>
            <a:solidFill xmlns:a="http://schemas.openxmlformats.org/drawingml/2006/main">
              <a:srgbClr val="2A7F9E"/>
            </a:solidFill>
          </c:spPr>
          <c:cat>
            <c:strRef>
              <c:f>'总览'!$A$32:$A$36</c:f>
              <c:strCache>
                <c:ptCount val="0"/>
              </c:strCache>
            </c:strRef>
          </c:cat>
          <c:val>
            <c:numRef>
              <c:f>'总览'!$B$32:$B$36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ea1586cd4b42af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337c1e897f476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4" name="ManualAuditTable" displayName="ManualAuditTable" ref="A5:AC15" headerRowCount="1" totalsRowCount="0" totalsRowShown="0">
  <x:tableColumns count="29">
    <x:tableColumn id="1" name="序号"/>
    <x:tableColumn id="2" name="运行 ID"/>
    <x:tableColumn id="3" name="题目 ID"/>
    <x:tableColumn id="4" name="题目"/>
    <x:tableColumn id="5" name="难度"/>
    <x:tableColumn id="6" name="抽检类型"/>
    <x:tableColumn id="7" name="Judge"/>
    <x:tableColumn id="8" name="通过/总数"/>
    <x:tableColumn id="9" name="机器答案正确"/>
    <x:tableColumn id="10" name="机器过程正确"/>
    <x:tableColumn id="11" name="机器首错"/>
    <x:tableColumn id="12" name="机器错误类型"/>
    <x:tableColumn id="13" name="辅助答案正确"/>
    <x:tableColumn id="14" name="辅助过程正确"/>
    <x:tableColumn id="15" name="辅助首错"/>
    <x:tableColumn id="16" name="辅助错误类型"/>
    <x:tableColumn id="17" name="辅助结论"/>
    <x:tableColumn id="18" name="辅助证据"/>
    <x:tableColumn id="19" name="人工状态"/>
    <x:tableColumn id="20" name="评审人 1"/>
    <x:tableColumn id="21" name="评审人 2"/>
    <x:tableColumn id="22" name="人工答案正确"/>
    <x:tableColumn id="23" name="人工过程正确"/>
    <x:tableColumn id="24" name="人工首错"/>
    <x:tableColumn id="25" name="人工错误类型"/>
    <x:tableColumn id="26" name="人工证据"/>
    <x:tableColumn id="27" name="裁决"/>
    <x:tableColumn id="28" name="签字时间"/>
    <x:tableColumn id="29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RevisionValidationTable" displayName="RevisionValidationTable" ref="A1:T173" headerRowCount="1" totalsRowCount="0" totalsRowShown="0">
  <x:tableColumns count="20">
    <x:tableColumn id="1" name="案例 ID"/>
    <x:tableColumn id="2" name="运行 ID"/>
    <x:tableColumn id="3" name="题目 ID"/>
    <x:tableColumn id="4" name="题目"/>
    <x:tableColumn id="5" name="难度"/>
    <x:tableColumn id="6" name="阶段"/>
    <x:tableColumn id="7" name="序号"/>
    <x:tableColumn id="8" name="版本"/>
    <x:tableColumn id="9" name="Judge"/>
    <x:tableColumn id="10" name="通过"/>
    <x:tableColumn id="11" name="总数"/>
    <x:tableColumn id="12" name="答案正确"/>
    <x:tableColumn id="13" name="过程正确"/>
    <x:tableColumn id="14" name="首错步骤"/>
    <x:tableColumn id="15" name="错误类型"/>
    <x:tableColumn id="16" name="置信度"/>
    <x:tableColumn id="17" name="改善"/>
    <x:tableColumn id="18" name="仅证明修订"/>
    <x:tableColumn id="19" name="证据摘录"/>
    <x:tableColumn id="20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RunResultsTable" displayName="RunResultsTable" ref="A1:AE87" headerRowCount="1" totalsRowCount="0" totalsRowShown="0">
  <x:tableColumns count="31">
    <x:tableColumn id="1" name="运行 ID"/>
    <x:tableColumn id="2" name="题目 ID"/>
    <x:tableColumn id="3" name="题目"/>
    <x:tableColumn id="4" name="数据集"/>
    <x:tableColumn id="5" name="难度"/>
    <x:tableColumn id="6" name="难度来源"/>
    <x:tableColumn id="7" name="活动批次"/>
    <x:tableColumn id="8" name="创建时间"/>
    <x:tableColumn id="9" name="停止原因"/>
    <x:tableColumn id="10" name="Judge"/>
    <x:tableColumn id="11" name="通过"/>
    <x:tableColumn id="12" name="总数"/>
    <x:tableColumn id="13" name="分数"/>
    <x:tableColumn id="14" name="答案正确(1/0)"/>
    <x:tableColumn id="15" name="过程正确(1/0)"/>
    <x:tableColumn id="16" name="严格成功(1/0)"/>
    <x:tableColumn id="17" name="答案正确但过程无效(1/0)"/>
    <x:tableColumn id="18" name="错误类型"/>
    <x:tableColumn id="19" name="首错步骤"/>
    <x:tableColumn id="20" name="初始 Judge"/>
    <x:tableColumn id="21" name="初始通过"/>
    <x:tableColumn id="22" name="初始总数"/>
    <x:tableColumn id="23" name="初始分数"/>
    <x:tableColumn id="24" name="初始答案正确(1/0)"/>
    <x:tableColumn id="25" name="初始过程正确(1/0)"/>
    <x:tableColumn id="26" name="修复轮数"/>
    <x:tableColumn id="27" name="修复尝试"/>
    <x:tableColumn id="28" name="修复成功"/>
    <x:tableColumn id="29" name="模型调用"/>
    <x:tableColumn id="30" name="记录 token"/>
    <x:tableColumn id="31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ProblemCoverageTable" displayName="ProblemCoverageTable" ref="A1:O64" headerRowCount="1" totalsRowCount="0" totalsRowShown="0">
  <x:tableColumns count="15">
    <x:tableColumn id="1" name="题目 ID"/>
    <x:tableColumn id="2" name="题目"/>
    <x:tableColumn id="3" name="数据集"/>
    <x:tableColumn id="4" name="难度"/>
    <x:tableColumn id="5" name="完成运行数"/>
    <x:tableColumn id="6" name="答案至少一次 AC(1/0)"/>
    <x:tableColumn id="7" name="严格成功至少一次(1/0)"/>
    <x:tableColumn id="8" name="答案 AC 运行"/>
    <x:tableColumn id="9" name="严格成功运行"/>
    <x:tableColumn id="10" name="最近运行"/>
    <x:tableColumn id="11" name="最近答案正确(1/0)"/>
    <x:tableColumn id="12" name="最近过程正确(1/0)"/>
    <x:tableColumn id="13" name="最近严格成功(1/0)"/>
    <x:tableColumn id="14" name="最近停止原因"/>
    <x:tableColumn id="15" name="Manife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836614e2d947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3ce573c8afc4f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936a890615c41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8919910637240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059a8aec2ca4a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3" hidden="0" customWidth="1"/>
    <x:col min="6" max="6" width="22" hidden="0" customWidth="1"/>
    <x:col min="7" max="7" width="18" hidden="0" customWidth="1"/>
    <x:col min="8" max="8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3" t="str">
        <x:v>Hy3-ContestLens 评测结果总览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>
      <x:c r="A4" s="5" t="str">
        <x:v>截至 2026-09-11 的只读运行快照；严格成功 = 编译 OK + Judge AC + 过程正确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A6" s="8" t="str">
        <x:v>题目覆盖（至少一次历史运行达到条件）</x:v>
      </x:c>
      <x:c r="B6" s="8"/>
      <x:c r="C6" s="8"/>
      <x:c r="D6" s="8"/>
      <x:c r="E6" s="8"/>
      <x:c r="F6" s="8"/>
      <x:c r="G6" s="8"/>
      <x:c r="H6" s="8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30" customHeight="1">
      <x:c r="A7" s="17" t="str">
        <x:v>指标</x:v>
      </x:c>
      <x:c r="B7" s="18" t="str">
        <x:v>数量</x:v>
      </x:c>
      <x:c r="C7" s="18" t="str">
        <x:v>分母</x:v>
      </x:c>
      <x:c r="D7" s="19" t="str">
        <x:v>比例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>
      <x:c r="A8" s="21" t="str">
        <x:v>工作流闭环</x:v>
      </x:c>
      <x:c r="B8" s="21" t="n">
        <x:f>COUNTA('题目覆盖'!$A$2:$A$64)</x:f>
        <x:v>63</x:v>
      </x:c>
      <x:c r="C8" s="21" t="n">
        <x:f>B8</x:f>
        <x:v>63</x:v>
      </x:c>
      <x:c r="D8" s="22" t="n">
        <x:f>B8/C8</x:f>
        <x:v>1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>
      <x:c r="A9" s="23" t="str">
        <x:v>答案至少一次 AC</x:v>
      </x:c>
      <x:c r="B9" s="23" t="n">
        <x:f>SUM('题目覆盖'!$F$2:$F$64)</x:f>
        <x:v>53</x:v>
      </x:c>
      <x:c r="C9" s="23" t="n">
        <x:f>B8</x:f>
        <x:v>63</x:v>
      </x:c>
      <x:c r="D9" s="24" t="n">
        <x:f>B9/C9</x:f>
        <x:v>0.8412698412698413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>
      <x:c r="A10" s="25" t="str">
        <x:v>答案与过程至少一次双通过</x:v>
      </x:c>
      <x:c r="B10" s="25" t="n">
        <x:f>SUM('题目覆盖'!$G$2:$G$64)</x:f>
        <x:v>44</x:v>
      </x:c>
      <x:c r="C10" s="25" t="n">
        <x:f>B8</x:f>
        <x:v>63</x:v>
      </x:c>
      <x:c r="D10" s="26" t="n">
        <x:f>B10/C10</x:f>
        <x:v>0.6984126984126984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>
      <x:c r="A13" s="8" t="str">
        <x:v>运行级历史记录（同题可重复）</x:v>
      </x:c>
      <x:c r="B13" s="8"/>
      <x:c r="C13" s="8"/>
      <x:c r="D13" s="8"/>
      <x:c r="E13" s="8"/>
      <x:c r="F13" s="8"/>
      <x:c r="G13" s="8"/>
      <x:c r="H13" s="8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30" customHeight="1">
      <x:c r="A14" s="17" t="str">
        <x:v>指标</x:v>
      </x:c>
      <x:c r="B14" s="18" t="str">
        <x:v>数量</x:v>
      </x:c>
      <x:c r="C14" s="18" t="str">
        <x:v>分母</x:v>
      </x:c>
      <x:c r="D14" s="19" t="str">
        <x:v>比例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>
      <x:c r="A15" s="21" t="str">
        <x:v>工作流已结束</x:v>
      </x:c>
      <x:c r="B15" s="21" t="n">
        <x:f>COUNTA('运行明细'!$A$2:$A$87)</x:f>
        <x:v>86</x:v>
      </x:c>
      <x:c r="C15" s="21" t="n">
        <x:f>B15</x:f>
        <x:v>86</x:v>
      </x:c>
      <x:c r="D15" s="22" t="n">
        <x:f>B15/C15</x:f>
        <x:v>1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>
      <x:c r="A16" s="23" t="str">
        <x:v>答案正确</x:v>
      </x:c>
      <x:c r="B16" s="23" t="n">
        <x:f>SUM('运行明细'!$N$2:$N$87)</x:f>
        <x:v>64</x:v>
      </x:c>
      <x:c r="C16" s="23" t="n">
        <x:f>B15</x:f>
        <x:v>86</x:v>
      </x:c>
      <x:c r="D16" s="24" t="n">
        <x:f>B16/C16</x:f>
        <x:v>0.7441860465116279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>
      <x:c r="A17" s="23" t="str">
        <x:v>过程正确</x:v>
      </x:c>
      <x:c r="B17" s="23" t="n">
        <x:f>SUM('运行明细'!$O$2:$O$87)</x:f>
        <x:v>61</x:v>
      </x:c>
      <x:c r="C17" s="23" t="n">
        <x:f>B15</x:f>
        <x:v>86</x:v>
      </x:c>
      <x:c r="D17" s="24" t="n">
        <x:f>B17/C17</x:f>
        <x:v>0.7093023255813954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>
      <x:c r="A18" s="23" t="str">
        <x:v>严格成功</x:v>
      </x:c>
      <x:c r="B18" s="23" t="n">
        <x:f>SUM('运行明细'!$P$2:$P$87)</x:f>
        <x:v>51</x:v>
      </x:c>
      <x:c r="C18" s="23" t="n">
        <x:f>B15</x:f>
        <x:v>86</x:v>
      </x:c>
      <x:c r="D18" s="24" t="n">
        <x:f>B18/C18</x:f>
        <x:v>0.5930232558139535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>
      <x:c r="A19" s="25" t="str">
        <x:v>答案正确但过程无效</x:v>
      </x:c>
      <x:c r="B19" s="25" t="n">
        <x:f>SUM('运行明细'!$Q$2:$Q$87)</x:f>
        <x:v>13</x:v>
      </x:c>
      <x:c r="C19" s="25" t="n">
        <x:f>B15</x:f>
        <x:v>86</x:v>
      </x:c>
      <x:c r="D19" s="26" t="n">
        <x:f>B19/C19</x:f>
        <x:v>0.1511627906976744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>
      <x:c r="A22" s="8" t="str">
        <x:v>修复收益与验证状态</x:v>
      </x:c>
      <x:c r="B22" s="8"/>
      <x:c r="C22" s="8"/>
      <x:c r="D22" s="8"/>
      <x:c r="E22" s="8"/>
      <x:c r="F22" s="8"/>
      <x:c r="G22" s="8"/>
      <x:c r="H22" s="8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30" customHeight="1">
      <x:c r="A23" s="17" t="str">
        <x:v>指标</x:v>
      </x:c>
      <x:c r="B23" s="18" t="str">
        <x:v>数量</x:v>
      </x:c>
      <x:c r="C23" s="18" t="str">
        <x:v>分母</x:v>
      </x:c>
      <x:c r="D23" s="19" t="str">
        <x:v>比例</x:v>
      </x:c>
      <x:c r="E23" s="2"/>
      <x:c r="F23" s="17" t="str">
        <x:v>验证项</x:v>
      </x:c>
      <x:c r="G23" s="18" t="str">
        <x:v>辅助预审结果</x:v>
      </x:c>
      <x:c r="H23" s="19" t="str">
        <x:v>正式状态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>
      <x:c r="A24" s="21" t="str">
        <x:v>初始严格成功</x:v>
      </x:c>
      <x:c r="B24" s="21" t="n">
        <x:f>COUNTIFS('运行明细'!$X$2:$X$87,1,'运行明细'!$Y$2:$Y$87,1)</x:f>
        <x:v>41</x:v>
      </x:c>
      <x:c r="C24" s="21" t="n">
        <x:f>COUNTA('运行明细'!$A$2:$A$87)</x:f>
        <x:v>86</x:v>
      </x:c>
      <x:c r="D24" s="22" t="n">
        <x:f>B24/C24</x:f>
        <x:v>0.47674418604651164</x:v>
      </x:c>
      <x:c r="E24" s="2"/>
      <x:c r="F24" s="21" t="str">
        <x:v>错误答案首错定位</x:v>
      </x:c>
      <x:c r="G24" s="22" t="n">
        <x:v>0.5</x:v>
      </x:c>
      <x:c r="H24" s="29" t="str">
        <x:v>待双人人工盲标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>
      <x:c r="A25" s="23" t="str">
        <x:v>最佳严格成功</x:v>
      </x:c>
      <x:c r="B25" s="23" t="n">
        <x:f>SUM('运行明细'!$P$2:$P$87)</x:f>
        <x:v>51</x:v>
      </x:c>
      <x:c r="C25" s="23" t="n">
        <x:f>COUNTA('运行明细'!$A$2:$A$87)</x:f>
        <x:v>86</x:v>
      </x:c>
      <x:c r="D25" s="24" t="n">
        <x:f>B25/C25</x:f>
        <x:v>0.5930232558139535</x:v>
      </x:c>
      <x:c r="E25" s="2"/>
      <x:c r="F25" s="25" t="str">
        <x:v>正确答案告警误报</x:v>
      </x:c>
      <x:c r="G25" s="26" t="n">
        <x:v>0.25</x:v>
      </x:c>
      <x:c r="H25" s="30" t="str">
        <x:v>待双人人工盲标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>
      <x:c r="A26" s="23" t="str">
        <x:v>由非严格成功恢复</x:v>
      </x:c>
      <x:c r="B26" s="23" t="n">
        <x:v>10</x:v>
      </x:c>
      <x:c r="C26" s="23" t="n">
        <x:v>45</x:v>
      </x:c>
      <x:c r="D26" s="24" t="n">
        <x:f>B26/C26</x:f>
        <x:v>0.2222222222222222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>
      <x:c r="A27" s="25" t="str">
        <x:v>辅助预审首错完全匹配</x:v>
      </x:c>
      <x:c r="B27" s="25" t="n">
        <x:v>3</x:v>
      </x:c>
      <x:c r="C27" s="25" t="n">
        <x:v>6</x:v>
      </x:c>
      <x:c r="D27" s="26" t="n">
        <x:f>B27/C27</x:f>
        <x:v>0.5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>
      <x:c r="A30" s="8" t="str">
        <x:v>非严格成功记录的错误类型</x:v>
      </x:c>
      <x:c r="B30" s="8"/>
      <x:c r="C30" s="8"/>
      <x:c r="D30" s="8"/>
      <x:c r="E30" s="8"/>
      <x:c r="F30" s="8" t="str">
        <x:v>结论</x:v>
      </x:c>
      <x:c r="G30" s="8"/>
      <x:c r="H30" s="8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30" customHeight="1">
      <x:c r="A31" s="17" t="str">
        <x:v>错误类型</x:v>
      </x:c>
      <x:c r="B31" s="18" t="str">
        <x:v>数量</x:v>
      </x:c>
      <x:c r="C31" s="19" t="str">
        <x:v>占非严格成功记录</x:v>
      </x:c>
      <x:c r="D31" s="2"/>
      <x:c r="E31" s="2"/>
      <x:c r="F31" s="31" t="str">
        <x:v>能力临界点</x:v>
      </x:c>
      <x:c r="G31" s="21" t="str">
        <x:v>省选/NOI−</x:v>
      </x:c>
      <x:c r="H31" s="34" t="str">
        <x:v>题目级严格成功由上一档 83.3% 降至 11.1%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>
      <x:c r="A32" s="21" t="str">
        <x:v>答案正确/过程无效</x:v>
      </x:c>
      <x:c r="B32" s="21" t="n">
        <x:v>13</x:v>
      </x:c>
      <x:c r="C32" s="22" t="n">
        <x:v>0.37142857142857144</x:v>
      </x:c>
      <x:c r="D32" s="2"/>
      <x:c r="E32" s="2"/>
      <x:c r="F32" s="32" t="str">
        <x:v>最高难度</x:v>
      </x:c>
      <x:c r="G32" s="23" t="str">
        <x:v>NOI/NOI+/CTS</x:v>
      </x:c>
      <x:c r="H32" s="35" t="str">
        <x:v>4 题中答案 AC 与严格成功均为 0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>
      <x:c r="A33" s="23" t="str">
        <x:v>实现不一致</x:v>
      </x:c>
      <x:c r="B33" s="23" t="n">
        <x:v>11</x:v>
      </x:c>
      <x:c r="C33" s="24" t="n">
        <x:v>0.3142857142857143</x:v>
      </x:c>
      <x:c r="D33" s="2"/>
      <x:c r="E33" s="2"/>
      <x:c r="F33" s="32" t="str">
        <x:v>主要失败形态</x:v>
      </x:c>
      <x:c r="G33" s="23" t="str">
        <x:v>过程与实现错位</x:v>
      </x:c>
      <x:c r="H33" s="35" t="str">
        <x:v>过程无效、实现不一致合计占非严格成功记录 68.6%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>
      <x:c r="A34" s="23" t="str">
        <x:v>复杂度/TLE</x:v>
      </x:c>
      <x:c r="B34" s="23" t="n">
        <x:v>8</x:v>
      </x:c>
      <x:c r="C34" s="24" t="n">
        <x:v>0.22857142857142856</x:v>
      </x:c>
      <x:c r="D34" s="2"/>
      <x:c r="E34" s="2"/>
      <x:c r="F34" s="32" t="str">
        <x:v>修复价值</x:v>
      </x:c>
      <x:c r="G34" s="23" t="str">
        <x:v>10 条恢复</x:v>
      </x:c>
      <x:c r="H34" s="35" t="str">
        <x:v>初始非严格成功记录中 22.2% 被修复至双通过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>
      <x:c r="A35" s="23" t="str">
        <x:v>运行错误</x:v>
      </x:c>
      <x:c r="B35" s="23" t="n">
        <x:v>2</x:v>
      </x:c>
      <x:c r="C35" s="24" t="n">
        <x:v>0.05714285714285714</x:v>
      </x:c>
      <x:c r="D35" s="2"/>
      <x:c r="E35" s="2"/>
      <x:c r="F35" s="33" t="str">
        <x:v>验证限制</x:v>
      </x:c>
      <x:c r="G35" s="25" t="str">
        <x:v>正式指标未出</x:v>
      </x:c>
      <x:c r="H35" s="36" t="str">
        <x:v>数据库无人工 annotations；辅助预审不可冒充人工真值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>
      <x:c r="A36" s="25" t="str">
        <x:v>错误算法</x:v>
      </x:c>
      <x:c r="B36" s="25" t="n">
        <x:v>1</x:v>
      </x:c>
      <x:c r="C36" s="26" t="n">
        <x:v>0.02857142857142857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</x:sheetData>
  <x:pageMargins left="0.7" right="0.7" top="0.75" bottom="0.75" header="0.3" footer="0.3"/>
  <x:drawing xmlns:r="http://schemas.openxmlformats.org/officeDocument/2006/relationships" r:id="R6d836614e2d94799"/>
</x:worksheet>
</file>

<file path=xl/worksheets/sheet2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6" hidden="0" customWidth="1"/>
    <x:col min="5" max="5" width="14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9" hidden="0" customWidth="1"/>
    <x:col min="11" max="11" width="19" hidden="0" customWidth="1"/>
  </x:cols>
  <x:sheetData>
    <x:row r="1" ht="30" customHeight="1">
      <x:c r="A1" s="17" t="str">
        <x:v>难度</x:v>
      </x:c>
      <x:c r="B1" s="18" t="str">
        <x:v>运行数</x:v>
      </x:c>
      <x:c r="C1" s="18" t="str">
        <x:v>运行答案正确</x:v>
      </x:c>
      <x:c r="D1" s="18" t="str">
        <x:v>运行答案准确率</x:v>
      </x:c>
      <x:c r="E1" s="18" t="str">
        <x:v>运行过程正确</x:v>
      </x:c>
      <x:c r="F1" s="18" t="str">
        <x:v>运行过程正确率</x:v>
      </x:c>
      <x:c r="G1" s="18" t="str">
        <x:v>题目数</x:v>
      </x:c>
      <x:c r="H1" s="18" t="str">
        <x:v>题目至少一次答案 AC</x:v>
      </x:c>
      <x:c r="I1" s="18" t="str">
        <x:v>题目答案覆盖率</x:v>
      </x:c>
      <x:c r="J1" s="18" t="str">
        <x:v>题目至少一次严格成功</x:v>
      </x:c>
      <x:c r="K1" s="19" t="str">
        <x:v>题目严格成功覆盖率</x:v>
      </x:c>
    </x:row>
    <x:row r="2">
      <x:c r="A2" s="21" t="str">
        <x:v>入门</x:v>
      </x:c>
      <x:c r="B2" s="21" t="n">
        <x:f>COUNTIF('运行明细'!$E$2:$E$87,A2)</x:f>
        <x:v>3</x:v>
      </x:c>
      <x:c r="C2" s="21" t="n">
        <x:f>SUMIFS('运行明细'!$N$2:$N$87,'运行明细'!$E$2:$E$87,A2)</x:f>
        <x:v>3</x:v>
      </x:c>
      <x:c r="D2" s="22" t="n">
        <x:f>C2/B2</x:f>
        <x:v>1</x:v>
      </x:c>
      <x:c r="E2" s="21" t="n">
        <x:f>SUMIFS('运行明细'!$O$2:$O$87,'运行明细'!$E$2:$E$87,A2)</x:f>
        <x:v>3</x:v>
      </x:c>
      <x:c r="F2" s="22" t="n">
        <x:f>E2/B2</x:f>
        <x:v>1</x:v>
      </x:c>
      <x:c r="G2" s="21" t="n">
        <x:f>COUNTIF('题目覆盖'!$D$2:$D$64,A2)</x:f>
        <x:v>3</x:v>
      </x:c>
      <x:c r="H2" s="21" t="n">
        <x:f>SUMIFS('题目覆盖'!$F$2:$F$64,'题目覆盖'!$D$2:$D$64,A2)</x:f>
        <x:v>3</x:v>
      </x:c>
      <x:c r="I2" s="22" t="n">
        <x:f>H2/G2</x:f>
        <x:v>1</x:v>
      </x:c>
      <x:c r="J2" s="21" t="n">
        <x:f>SUMIFS('题目覆盖'!$G$2:$G$64,'题目覆盖'!$D$2:$D$64,A2)</x:f>
        <x:v>3</x:v>
      </x:c>
      <x:c r="K2" s="22" t="n">
        <x:f>J2/G2</x:f>
        <x:v>1</x:v>
      </x:c>
    </x:row>
    <x:row r="3">
      <x:c r="A3" s="23" t="str">
        <x:v>普及−</x:v>
      </x:c>
      <x:c r="B3" s="23" t="n">
        <x:f>COUNTIF('运行明细'!$E$2:$E$87,A3)</x:f>
        <x:v>9</x:v>
      </x:c>
      <x:c r="C3" s="23" t="n">
        <x:f>SUMIFS('运行明细'!$N$2:$N$87,'运行明细'!$E$2:$E$87,A3)</x:f>
        <x:v>9</x:v>
      </x:c>
      <x:c r="D3" s="24" t="n">
        <x:f>C3/B3</x:f>
        <x:v>1</x:v>
      </x:c>
      <x:c r="E3" s="23" t="n">
        <x:f>SUMIFS('运行明细'!$O$2:$O$87,'运行明细'!$E$2:$E$87,A3)</x:f>
        <x:v>9</x:v>
      </x:c>
      <x:c r="F3" s="24" t="n">
        <x:f>E3/B3</x:f>
        <x:v>1</x:v>
      </x:c>
      <x:c r="G3" s="23" t="n">
        <x:f>COUNTIF('题目覆盖'!$D$2:$D$64,A3)</x:f>
        <x:v>9</x:v>
      </x:c>
      <x:c r="H3" s="23" t="n">
        <x:f>SUMIFS('题目覆盖'!$F$2:$F$64,'题目覆盖'!$D$2:$D$64,A3)</x:f>
        <x:v>9</x:v>
      </x:c>
      <x:c r="I3" s="24" t="n">
        <x:f>H3/G3</x:f>
        <x:v>1</x:v>
      </x:c>
      <x:c r="J3" s="23" t="n">
        <x:f>SUMIFS('题目覆盖'!$G$2:$G$64,'题目覆盖'!$D$2:$D$64,A3)</x:f>
        <x:v>9</x:v>
      </x:c>
      <x:c r="K3" s="24" t="n">
        <x:f>J3/G3</x:f>
        <x:v>1</x:v>
      </x:c>
    </x:row>
    <x:row r="4">
      <x:c r="A4" s="23" t="str">
        <x:v>普及</x:v>
      </x:c>
      <x:c r="B4" s="23" t="n">
        <x:f>COUNTIF('运行明细'!$E$2:$E$87,A4)</x:f>
        <x:v>17</x:v>
      </x:c>
      <x:c r="C4" s="23" t="n">
        <x:f>SUMIFS('运行明细'!$N$2:$N$87,'运行明细'!$E$2:$E$87,A4)</x:f>
        <x:v>15</x:v>
      </x:c>
      <x:c r="D4" s="24" t="n">
        <x:f>C4/B4</x:f>
        <x:v>0.8823529411764706</x:v>
      </x:c>
      <x:c r="E4" s="23" t="n">
        <x:f>SUMIFS('运行明细'!$O$2:$O$87,'运行明细'!$E$2:$E$87,A4)</x:f>
        <x:v>16</x:v>
      </x:c>
      <x:c r="F4" s="24" t="n">
        <x:f>E4/B4</x:f>
        <x:v>0.9411764705882353</x:v>
      </x:c>
      <x:c r="G4" s="23" t="n">
        <x:f>COUNTIF('题目覆盖'!$D$2:$D$64,A4)</x:f>
        <x:v>11</x:v>
      </x:c>
      <x:c r="H4" s="23" t="n">
        <x:f>SUMIFS('题目覆盖'!$F$2:$F$64,'题目覆盖'!$D$2:$D$64,A4)</x:f>
        <x:v>11</x:v>
      </x:c>
      <x:c r="I4" s="24" t="n">
        <x:f>H4/G4</x:f>
        <x:v>1</x:v>
      </x:c>
      <x:c r="J4" s="23" t="n">
        <x:f>SUMIFS('题目覆盖'!$G$2:$G$64,'题目覆盖'!$D$2:$D$64,A4)</x:f>
        <x:v>11</x:v>
      </x:c>
      <x:c r="K4" s="24" t="n">
        <x:f>J4/G4</x:f>
        <x:v>1</x:v>
      </x:c>
    </x:row>
    <x:row r="5">
      <x:c r="A5" s="23" t="str">
        <x:v>普及+/提高−</x:v>
      </x:c>
      <x:c r="B5" s="23" t="n">
        <x:f>COUNTIF('运行明细'!$E$2:$E$87,A5)</x:f>
        <x:v>16</x:v>
      </x:c>
      <x:c r="C5" s="23" t="n">
        <x:f>SUMIFS('运行明细'!$N$2:$N$87,'运行明细'!$E$2:$E$87,A5)</x:f>
        <x:v>13</x:v>
      </x:c>
      <x:c r="D5" s="24" t="n">
        <x:f>C5/B5</x:f>
        <x:v>0.8125</x:v>
      </x:c>
      <x:c r="E5" s="23" t="n">
        <x:f>SUMIFS('运行明细'!$O$2:$O$87,'运行明细'!$E$2:$E$87,A5)</x:f>
        <x:v>13</x:v>
      </x:c>
      <x:c r="F5" s="24" t="n">
        <x:f>E5/B5</x:f>
        <x:v>0.8125</x:v>
      </x:c>
      <x:c r="G5" s="23" t="n">
        <x:f>COUNTIF('题目覆盖'!$D$2:$D$64,A5)</x:f>
        <x:v>12</x:v>
      </x:c>
      <x:c r="H5" s="23" t="n">
        <x:f>SUMIFS('题目覆盖'!$F$2:$F$64,'题目覆盖'!$D$2:$D$64,A5)</x:f>
        <x:v>11</x:v>
      </x:c>
      <x:c r="I5" s="24" t="n">
        <x:f>H5/G5</x:f>
        <x:v>0.9166666666666666</x:v>
      </x:c>
      <x:c r="J5" s="23" t="n">
        <x:f>SUMIFS('题目覆盖'!$G$2:$G$64,'题目覆盖'!$D$2:$D$64,A5)</x:f>
        <x:v>10</x:v>
      </x:c>
      <x:c r="K5" s="24" t="n">
        <x:f>J5/G5</x:f>
        <x:v>0.8333333333333334</x:v>
      </x:c>
    </x:row>
    <x:row r="6">
      <x:c r="A6" s="23" t="str">
        <x:v>提高</x:v>
      </x:c>
      <x:c r="B6" s="23" t="n">
        <x:f>COUNTIF('运行明细'!$E$2:$E$87,A6)</x:f>
        <x:v>14</x:v>
      </x:c>
      <x:c r="C6" s="23" t="n">
        <x:f>SUMIFS('运行明细'!$N$2:$N$87,'运行明细'!$E$2:$E$87,A6)</x:f>
        <x:v>11</x:v>
      </x:c>
      <x:c r="D6" s="24" t="n">
        <x:f>C6/B6</x:f>
        <x:v>0.7857142857142857</x:v>
      </x:c>
      <x:c r="E6" s="23" t="n">
        <x:f>SUMIFS('运行明细'!$O$2:$O$87,'运行明细'!$E$2:$E$87,A6)</x:f>
        <x:v>10</x:v>
      </x:c>
      <x:c r="F6" s="24" t="n">
        <x:f>E6/B6</x:f>
        <x:v>0.7142857142857143</x:v>
      </x:c>
      <x:c r="G6" s="23" t="n">
        <x:f>COUNTIF('题目覆盖'!$D$2:$D$64,A6)</x:f>
        <x:v>9</x:v>
      </x:c>
      <x:c r="H6" s="23" t="n">
        <x:f>SUMIFS('题目覆盖'!$F$2:$F$64,'题目覆盖'!$D$2:$D$64,A6)</x:f>
        <x:v>8</x:v>
      </x:c>
      <x:c r="I6" s="24" t="n">
        <x:f>H6/G6</x:f>
        <x:v>0.8888888888888888</x:v>
      </x:c>
      <x:c r="J6" s="23" t="n">
        <x:f>SUMIFS('题目覆盖'!$G$2:$G$64,'题目覆盖'!$D$2:$D$64,A6)</x:f>
        <x:v>5</x:v>
      </x:c>
      <x:c r="K6" s="24" t="n">
        <x:f>J6/G6</x:f>
        <x:v>0.5555555555555556</x:v>
      </x:c>
    </x:row>
    <x:row r="7">
      <x:c r="A7" s="23" t="str">
        <x:v>提高+/省选−</x:v>
      </x:c>
      <x:c r="B7" s="23" t="n">
        <x:f>COUNTIF('运行明细'!$E$2:$E$87,A7)</x:f>
        <x:v>7</x:v>
      </x:c>
      <x:c r="C7" s="23" t="n">
        <x:f>SUMIFS('运行明细'!$N$2:$N$87,'运行明细'!$E$2:$E$87,A7)</x:f>
        <x:v>7</x:v>
      </x:c>
      <x:c r="D7" s="24" t="n">
        <x:f>C7/B7</x:f>
        <x:v>1</x:v>
      </x:c>
      <x:c r="E7" s="23" t="n">
        <x:f>SUMIFS('运行明细'!$O$2:$O$87,'运行明细'!$E$2:$E$87,A7)</x:f>
        <x:v>5</x:v>
      </x:c>
      <x:c r="F7" s="24" t="n">
        <x:f>E7/B7</x:f>
        <x:v>0.7142857142857143</x:v>
      </x:c>
      <x:c r="G7" s="23" t="n">
        <x:f>COUNTIF('题目覆盖'!$D$2:$D$64,A7)</x:f>
        <x:v>6</x:v>
      </x:c>
      <x:c r="H7" s="23" t="n">
        <x:f>SUMIFS('题目覆盖'!$F$2:$F$64,'题目覆盖'!$D$2:$D$64,A7)</x:f>
        <x:v>6</x:v>
      </x:c>
      <x:c r="I7" s="24" t="n">
        <x:f>H7/G7</x:f>
        <x:v>1</x:v>
      </x:c>
      <x:c r="J7" s="23" t="n">
        <x:f>SUMIFS('题目覆盖'!$G$2:$G$64,'题目覆盖'!$D$2:$D$64,A7)</x:f>
        <x:v>5</x:v>
      </x:c>
      <x:c r="K7" s="24" t="n">
        <x:f>J7/G7</x:f>
        <x:v>0.8333333333333334</x:v>
      </x:c>
    </x:row>
    <x:row r="8">
      <x:c r="A8" s="23" t="str">
        <x:v>省选/NOI−</x:v>
      </x:c>
      <x:c r="B8" s="23" t="n">
        <x:f>COUNTIF('运行明细'!$E$2:$E$87,A8)</x:f>
        <x:v>11</x:v>
      </x:c>
      <x:c r="C8" s="23" t="n">
        <x:f>SUMIFS('运行明细'!$N$2:$N$87,'运行明细'!$E$2:$E$87,A8)</x:f>
        <x:v>6</x:v>
      </x:c>
      <x:c r="D8" s="24" t="n">
        <x:f>C8/B8</x:f>
        <x:v>0.5454545454545454</x:v>
      </x:c>
      <x:c r="E8" s="23" t="n">
        <x:f>SUMIFS('运行明细'!$O$2:$O$87,'运行明细'!$E$2:$E$87,A8)</x:f>
        <x:v>1</x:v>
      </x:c>
      <x:c r="F8" s="24" t="n">
        <x:f>E8/B8</x:f>
        <x:v>0.09090909090909091</x:v>
      </x:c>
      <x:c r="G8" s="23" t="n">
        <x:f>COUNTIF('题目覆盖'!$D$2:$D$64,A8)</x:f>
        <x:v>9</x:v>
      </x:c>
      <x:c r="H8" s="23" t="n">
        <x:f>SUMIFS('题目覆盖'!$F$2:$F$64,'题目覆盖'!$D$2:$D$64,A8)</x:f>
        <x:v>5</x:v>
      </x:c>
      <x:c r="I8" s="24" t="n">
        <x:f>H8/G8</x:f>
        <x:v>0.5555555555555556</x:v>
      </x:c>
      <x:c r="J8" s="23" t="n">
        <x:f>SUMIFS('题目覆盖'!$G$2:$G$64,'题目覆盖'!$D$2:$D$64,A8)</x:f>
        <x:v>1</x:v>
      </x:c>
      <x:c r="K8" s="24" t="n">
        <x:f>J8/G8</x:f>
        <x:v>0.1111111111111111</x:v>
      </x:c>
    </x:row>
    <x:row r="9">
      <x:c r="A9" s="25" t="str">
        <x:v>NOI/NOI+/CTS</x:v>
      </x:c>
      <x:c r="B9" s="25" t="n">
        <x:f>COUNTIF('运行明细'!$E$2:$E$87,A9)</x:f>
        <x:v>9</x:v>
      </x:c>
      <x:c r="C9" s="25" t="n">
        <x:f>SUMIFS('运行明细'!$N$2:$N$87,'运行明细'!$E$2:$E$87,A9)</x:f>
        <x:v>0</x:v>
      </x:c>
      <x:c r="D9" s="26" t="n">
        <x:f>C9/B9</x:f>
        <x:v>0</x:v>
      </x:c>
      <x:c r="E9" s="25" t="n">
        <x:f>SUMIFS('运行明细'!$O$2:$O$87,'运行明细'!$E$2:$E$87,A9)</x:f>
        <x:v>4</x:v>
      </x:c>
      <x:c r="F9" s="26" t="n">
        <x:f>E9/B9</x:f>
        <x:v>0.4444444444444444</x:v>
      </x:c>
      <x:c r="G9" s="25" t="n">
        <x:f>COUNTIF('题目覆盖'!$D$2:$D$64,A9)</x:f>
        <x:v>4</x:v>
      </x:c>
      <x:c r="H9" s="25" t="n">
        <x:f>SUMIFS('题目覆盖'!$F$2:$F$64,'题目覆盖'!$D$2:$D$64,A9)</x:f>
        <x:v>0</x:v>
      </x:c>
      <x:c r="I9" s="26" t="n">
        <x:f>H9/G9</x:f>
        <x:v>0</x:v>
      </x:c>
      <x:c r="J9" s="25" t="n">
        <x:f>SUMIFS('题目覆盖'!$G$2:$G$64,'题目覆盖'!$D$2:$D$64,A9)</x:f>
        <x:v>0</x:v>
      </x:c>
      <x:c r="K9" s="26" t="n">
        <x:f>J9/G9</x:f>
        <x:v>0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26A00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24" hidden="0" customWidth="1"/>
    <x:col min="7" max="7" width="10" hidden="0" customWidth="1"/>
    <x:col min="8" max="8" width="12" hidden="0" customWidth="1"/>
    <x:col min="9" max="9" width="13" hidden="0" customWidth="1"/>
    <x:col min="10" max="10" width="13" hidden="0" customWidth="1"/>
    <x:col min="11" max="11" width="11" hidden="0" customWidth="1"/>
    <x:col min="12" max="12" width="31" hidden="0" customWidth="1"/>
    <x:col min="13" max="13" width="13" hidden="0" customWidth="1"/>
    <x:col min="14" max="14" width="13" hidden="0" customWidth="1"/>
    <x:col min="15" max="15" width="11" hidden="0" customWidth="1"/>
    <x:col min="16" max="16" width="31" hidden="0" customWidth="1"/>
    <x:col min="17" max="17" width="42" hidden="0" customWidth="1"/>
    <x:col min="18" max="18" width="78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42" hidden="0" customWidth="1"/>
    <x:col min="27" max="27" width="42" hidden="0" customWidth="1"/>
    <x:col min="28" max="28" width="19" hidden="0" customWidth="1"/>
    <x:col min="29" max="29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>
      <x:c r="A2" s="3" t="str">
        <x:v>人工抽检记录与双人复核工作表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>
      <x:c r="A4" s="5" t="str">
        <x:v>蓝灰列为机器/辅助预审证据；黄色列必须由两名人工评审填写并裁决，当前不计入正式指标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0" customHeight="1">
      <x:c r="A5" s="17" t="str">
        <x:v>序号</x:v>
      </x:c>
      <x:c r="B5" s="18" t="str">
        <x:v>运行 ID</x:v>
      </x:c>
      <x:c r="C5" s="18" t="str">
        <x:v>题目 ID</x:v>
      </x:c>
      <x:c r="D5" s="18" t="str">
        <x:v>题目</x:v>
      </x:c>
      <x:c r="E5" s="18" t="str">
        <x:v>难度</x:v>
      </x:c>
      <x:c r="F5" s="18" t="str">
        <x:v>抽检类型</x:v>
      </x:c>
      <x:c r="G5" s="18" t="str">
        <x:v>Judge</x:v>
      </x:c>
      <x:c r="H5" s="18" t="str">
        <x:v>通过/总数</x:v>
      </x:c>
      <x:c r="I5" s="18" t="str">
        <x:v>机器答案正确</x:v>
      </x:c>
      <x:c r="J5" s="18" t="str">
        <x:v>机器过程正确</x:v>
      </x:c>
      <x:c r="K5" s="18" t="str">
        <x:v>机器首错</x:v>
      </x:c>
      <x:c r="L5" s="18" t="str">
        <x:v>机器错误类型</x:v>
      </x:c>
      <x:c r="M5" s="18" t="str">
        <x:v>辅助答案正确</x:v>
      </x:c>
      <x:c r="N5" s="18" t="str">
        <x:v>辅助过程正确</x:v>
      </x:c>
      <x:c r="O5" s="18" t="str">
        <x:v>辅助首错</x:v>
      </x:c>
      <x:c r="P5" s="18" t="str">
        <x:v>辅助错误类型</x:v>
      </x:c>
      <x:c r="Q5" s="18" t="str">
        <x:v>辅助结论</x:v>
      </x:c>
      <x:c r="R5" s="18" t="str">
        <x:v>辅助证据</x:v>
      </x:c>
      <x:c r="S5" s="18" t="str">
        <x:v>人工状态</x:v>
      </x:c>
      <x:c r="T5" s="18" t="str">
        <x:v>评审人 1</x:v>
      </x:c>
      <x:c r="U5" s="18" t="str">
        <x:v>评审人 2</x:v>
      </x:c>
      <x:c r="V5" s="18" t="str">
        <x:v>人工答案正确</x:v>
      </x:c>
      <x:c r="W5" s="18" t="str">
        <x:v>人工过程正确</x:v>
      </x:c>
      <x:c r="X5" s="18" t="str">
        <x:v>人工首错</x:v>
      </x:c>
      <x:c r="Y5" s="18" t="str">
        <x:v>人工错误类型</x:v>
      </x:c>
      <x:c r="Z5" s="18" t="str">
        <x:v>人工证据</x:v>
      </x:c>
      <x:c r="AA5" s="18" t="str">
        <x:v>裁决</x:v>
      </x:c>
      <x:c r="AB5" s="18" t="str">
        <x:v>签字时间</x:v>
      </x:c>
      <x:c r="AC5" s="19" t="str">
        <x:v>来源</x:v>
      </x:c>
    </x:row>
    <x:row r="6" ht="76" customHeight="1">
      <x:c r="A6" s="41" t="n">
        <x:v>1</x:v>
      </x:c>
      <x:c r="B6" s="41" t="str">
        <x:v>run_Dwq5kWBqPd8K3Tqb</x:v>
      </x:c>
      <x:c r="C6" s="41" t="str">
        <x:v>track</x:v>
      </x:c>
      <x:c r="D6" s="41" t="str">
        <x:v>赛道修建</x:v>
      </x:c>
      <x:c r="E6" s="41" t="str">
        <x:v>提高</x:v>
      </x:c>
      <x:c r="F6" s="41" t="str">
        <x:v>错误答案首错定位</x:v>
      </x:c>
      <x:c r="G6" s="41" t="str">
        <x:v>WA</x:v>
      </x:c>
      <x:c r="H6" s="41" t="str">
        <x:v>16/20</x:v>
      </x:c>
      <x:c r="I6" s="42" t="b">
        <x:v>0</x:v>
      </x:c>
      <x:c r="J6" s="42" t="b">
        <x:v>1</x:v>
      </x:c>
      <x:c r="K6" s="41"/>
      <x:c r="L6" s="41" t="str">
        <x:v>IMPLEMENTATION_MISMATCH</x:v>
      </x:c>
      <x:c r="M6" s="42" t="b">
        <x:v>0</x:v>
      </x:c>
      <x:c r="N6" s="42" t="b">
        <x:v>0</x:v>
      </x:c>
      <x:c r="O6" s="41" t="str">
        <x:v>S4</x:v>
      </x:c>
      <x:c r="P6" s="41" t="str">
        <x:v>WRONG_ALGORITHM</x:v>
      </x:c>
      <x:c r="Q6" s="48" t="str">
        <x:v>首错应定位到 S4；评估器仅给出 IMPLEMENTATION_MISMATCH 且未定位，属于定位漏检。</x:v>
      </x:c>
      <x:c r="R6" s="48" t="str">
        <x:v>初始版本确定性判题为 WA（16/20）。 | S4 的两端配对只最大化当前配对数，没有在同等配对数下最大化向父节点返回的剩余链。候选链 [1,1,2]、阈值 2 时，原策略配对 1+2 并返回 1；配对 1+1 可保持一条完成路径并返回 2。 | 修复版改为 multiset 寻找最小可行搭档并通过 20/20，支持首错位于局部配对策略。</x:v>
      </x:c>
      <x:c r="S6" s="27" t="str">
        <x:v>待人工复核</x:v>
      </x:c>
      <x:c r="T6" s="27"/>
      <x:c r="U6" s="27"/>
      <x:c r="V6" s="27"/>
      <x:c r="W6" s="27"/>
      <x:c r="X6" s="27"/>
      <x:c r="Y6" s="27"/>
      <x:c r="Z6" s="51"/>
      <x:c r="AA6" s="51"/>
      <x:c r="AB6" s="27"/>
      <x:c r="AC6" s="21" t="str">
        <x:v>runs/run_Dwq5kWBqPd8K3Tqb/initial_evaluation/process_evaluation.json</x:v>
      </x:c>
    </x:row>
    <x:row r="7" ht="76" customHeight="1">
      <x:c r="A7" s="43" t="n">
        <x:v>2</x:v>
      </x:c>
      <x:c r="B7" s="43" t="str">
        <x:v>run_nPPFL5vXxjog7GZ8</x:v>
      </x:c>
      <x:c r="C7" s="43" t="str">
        <x:v>track</x:v>
      </x:c>
      <x:c r="D7" s="43" t="str">
        <x:v>赛道修建</x:v>
      </x:c>
      <x:c r="E7" s="43" t="str">
        <x:v>提高</x:v>
      </x:c>
      <x:c r="F7" s="43" t="str">
        <x:v>错误答案首错定位</x:v>
      </x:c>
      <x:c r="G7" s="43" t="str">
        <x:v>WA</x:v>
      </x:c>
      <x:c r="H7" s="43" t="str">
        <x:v>12/20</x:v>
      </x:c>
      <x:c r="I7" s="44" t="b">
        <x:v>0</x:v>
      </x:c>
      <x:c r="J7" s="44" t="b">
        <x:v>1</x:v>
      </x:c>
      <x:c r="K7" s="43"/>
      <x:c r="L7" s="43" t="str">
        <x:v>IMPLEMENTATION_MISMATCH</x:v>
      </x:c>
      <x:c r="M7" s="44" t="b">
        <x:v>0</x:v>
      </x:c>
      <x:c r="N7" s="44" t="b">
        <x:v>0</x:v>
      </x:c>
      <x:c r="O7" s="43" t="str">
        <x:v>S4</x:v>
      </x:c>
      <x:c r="P7" s="43" t="str">
        <x:v>WRONG_ALGORITHM</x:v>
      </x:c>
      <x:c r="Q7" s="49" t="str">
        <x:v>首错应定位到 S4；评估器把错误归为实现不一致但没有给出首错步骤。</x:v>
      </x:c>
      <x:c r="R7" s="49" t="str">
        <x:v>初始版本确定性判题为 WA（12/20）。 | S4 的最小值与最大值直接配对会牺牲可向上延伸的最大剩余链；[1,1,2]、阈值 2 是可复核反例。 | 代码与 S4 描述一致，因此不是单纯实现偏离，而是过程中的贪心规则本身不充分。</x:v>
      </x:c>
      <x:c r="S7" s="47" t="str">
        <x:v>待人工复核</x:v>
      </x:c>
      <x:c r="T7" s="47"/>
      <x:c r="U7" s="47"/>
      <x:c r="V7" s="47"/>
      <x:c r="W7" s="47"/>
      <x:c r="X7" s="47"/>
      <x:c r="Y7" s="47"/>
      <x:c r="Z7" s="52"/>
      <x:c r="AA7" s="52"/>
      <x:c r="AB7" s="47"/>
      <x:c r="AC7" s="23" t="str">
        <x:v>runs/run_nPPFL5vXxjog7GZ8/initial_evaluation/process_evaluation.json</x:v>
      </x:c>
    </x:row>
    <x:row r="8" ht="76" customHeight="1">
      <x:c r="A8" s="43" t="n">
        <x:v>3</x:v>
      </x:c>
      <x:c r="B8" s="43" t="str">
        <x:v>run_R9reSD2WJqZJHWd9</x:v>
      </x:c>
      <x:c r="C8" s="43" t="str">
        <x:v>track</x:v>
      </x:c>
      <x:c r="D8" s="43" t="str">
        <x:v>赛道修建</x:v>
      </x:c>
      <x:c r="E8" s="43" t="str">
        <x:v>提高</x:v>
      </x:c>
      <x:c r="F8" s="43" t="str">
        <x:v>错误答案首错定位</x:v>
      </x:c>
      <x:c r="G8" s="43" t="str">
        <x:v>WA</x:v>
      </x:c>
      <x:c r="H8" s="43" t="str">
        <x:v>16/20</x:v>
      </x:c>
      <x:c r="I8" s="44" t="b">
        <x:v>0</x:v>
      </x:c>
      <x:c r="J8" s="44" t="b">
        <x:v>1</x:v>
      </x:c>
      <x:c r="K8" s="43"/>
      <x:c r="L8" s="43" t="str">
        <x:v>IMPLEMENTATION_MISMATCH</x:v>
      </x:c>
      <x:c r="M8" s="44" t="b">
        <x:v>0</x:v>
      </x:c>
      <x:c r="N8" s="44" t="b">
        <x:v>0</x:v>
      </x:c>
      <x:c r="O8" s="43" t="str">
        <x:v>S4</x:v>
      </x:c>
      <x:c r="P8" s="43" t="str">
        <x:v>WRONG_ALGORITHM</x:v>
      </x:c>
      <x:c r="Q8" s="49" t="str">
        <x:v>首错应定位到 S4；双路评审均把有反例的配对策略误判为正确。</x:v>
      </x:c>
      <x:c r="R8" s="49" t="str">
        <x:v>初始版本确定性判题为 WA（16/20）。 | S4 没有证明在最大配对数相同的情况下返回链也最优；[1,1,2]、阈值 2 直接否定该策略。 | 后续通过版本改变局部配对选择，说明问题不在二分或 I/O，而在 S4。</x:v>
      </x:c>
      <x:c r="S8" s="47" t="str">
        <x:v>待人工复核</x:v>
      </x:c>
      <x:c r="T8" s="47"/>
      <x:c r="U8" s="47"/>
      <x:c r="V8" s="47"/>
      <x:c r="W8" s="47"/>
      <x:c r="X8" s="47"/>
      <x:c r="Y8" s="47"/>
      <x:c r="Z8" s="52"/>
      <x:c r="AA8" s="52"/>
      <x:c r="AB8" s="47"/>
      <x:c r="AC8" s="23" t="str">
        <x:v>runs/run_R9reSD2WJqZJHWd9/initial_evaluation/process_evaluation.json</x:v>
      </x:c>
    </x:row>
    <x:row r="9" ht="76" customHeight="1">
      <x:c r="A9" s="43" t="n">
        <x:v>4</x:v>
      </x:c>
      <x:c r="B9" s="43" t="str">
        <x:v>run_Uzytk8n4cDblWHh</x:v>
      </x:c>
      <x:c r="C9" s="43" t="str">
        <x:v>road</x:v>
      </x:c>
      <x:c r="D9" s="43" t="str">
        <x:v>铺设道路</x:v>
      </x:c>
      <x:c r="E9" s="43" t="str">
        <x:v>普及</x:v>
      </x:c>
      <x:c r="F9" s="43" t="str">
        <x:v>正确答案告警</x:v>
      </x:c>
      <x:c r="G9" s="43" t="str">
        <x:v>AC</x:v>
      </x:c>
      <x:c r="H9" s="43" t="str">
        <x:v>10/10</x:v>
      </x:c>
      <x:c r="I9" s="44" t="b">
        <x:v>1</x:v>
      </x:c>
      <x:c r="J9" s="44" t="b">
        <x:v>0</x:v>
      </x:c>
      <x:c r="K9" s="43" t="str">
        <x:v>S3</x:v>
      </x:c>
      <x:c r="L9" s="43" t="str">
        <x:v>RESULT_CORRECT_PROCESS_INVALID</x:v>
      </x:c>
      <x:c r="M9" s="44" t="b">
        <x:v>1</x:v>
      </x:c>
      <x:c r="N9" s="44" t="b">
        <x:v>0</x:v>
      </x:c>
      <x:c r="O9" s="43" t="str">
        <x:v>S3</x:v>
      </x:c>
      <x:c r="P9" s="43" t="str">
        <x:v>RESULT_CORRECT_PROCESS_INVALID</x:v>
      </x:c>
      <x:c r="Q9" s="49" t="str">
        <x:v>真实过程问题，S3 的单调性不变量错误；不是误报。</x:v>
      </x:c>
      <x:c r="R9" s="49" t="str">
        <x:v>确定性判题为 AC（10/10），答案正确。 | 对 d=[2,1,1] 在区间 [2,2] 操作后，正差分和从 2 增至 3，反驳 S3 的单调性表述。 | 项目现有 WORKFLOW_LIVE_TEST_20260909.md 记录了同一公开反例，修复后重新评审通过。</x:v>
      </x:c>
      <x:c r="S9" s="47" t="str">
        <x:v>待人工复核</x:v>
      </x:c>
      <x:c r="T9" s="47"/>
      <x:c r="U9" s="47"/>
      <x:c r="V9" s="47"/>
      <x:c r="W9" s="47"/>
      <x:c r="X9" s="47"/>
      <x:c r="Y9" s="47"/>
      <x:c r="Z9" s="52"/>
      <x:c r="AA9" s="52"/>
      <x:c r="AB9" s="47"/>
      <x:c r="AC9" s="23" t="str">
        <x:v>runs/run_Uzytk8n4cDblWHh/initial_evaluation/process_evaluation.json</x:v>
      </x:c>
    </x:row>
    <x:row r="10" ht="76" customHeight="1">
      <x:c r="A10" s="43" t="n">
        <x:v>5</x:v>
      </x:c>
      <x:c r="B10" s="43" t="str">
        <x:v>run_25X8tgq2qpxb0Yyc</x:v>
      </x:c>
      <x:c r="C10" s="43" t="str">
        <x:v>noip2015_junior_coin</x:v>
      </x:c>
      <x:c r="D10" s="43" t="str">
        <x:v>金币</x:v>
      </x:c>
      <x:c r="E10" s="43" t="str">
        <x:v>入门</x:v>
      </x:c>
      <x:c r="F10" s="43" t="str">
        <x:v>正确答案告警</x:v>
      </x:c>
      <x:c r="G10" s="43" t="str">
        <x:v>AC</x:v>
      </x:c>
      <x:c r="H10" s="43" t="str">
        <x:v>10/10</x:v>
      </x:c>
      <x:c r="I10" s="44" t="b">
        <x:v>1</x:v>
      </x:c>
      <x:c r="J10" s="44" t="b">
        <x:v>0</x:v>
      </x:c>
      <x:c r="K10" s="43" t="str">
        <x:v>S1</x:v>
      </x:c>
      <x:c r="L10" s="43" t="str">
        <x:v>RESULT_CORRECT_PROCESS_INVALID</x:v>
      </x:c>
      <x:c r="M10" s="44" t="b">
        <x:v>1</x:v>
      </x:c>
      <x:c r="N10" s="44" t="b">
        <x:v>1</x:v>
      </x:c>
      <x:c r="O10" s="43"/>
      <x:c r="P10" s="43" t="str">
        <x:v>UNRESOLVED</x:v>
      </x:c>
      <x:c r="Q10" s="49" t="str">
        <x:v>评估器误报。S1 对 I/O 约束来源的措辞不精确，但执行动作与工作流强制要求一致，不构成解题过程失效。</x:v>
      </x:c>
      <x:c r="R10" s="49" t="str">
        <x:v>确定性判题为 AC（10/10），算法步骤 S2-S5 可直接验证。 | src/hy3_contestlens/model.py 明确向 Solver 强制要求 coin.in/coin.out 的 freopen，workspace.py 也会以 REQUIRED_FILE_IO_MISSING 拒绝缺失调用。 | 评估器只依据 manifest 的 stdin_and_file/stdout_or_file 推断 freopen 可能导致运行错误，忽略了更高优先级的工作流约束；该风险与实际执行环境不成立。</x:v>
      </x:c>
      <x:c r="S10" s="47" t="str">
        <x:v>待人工复核</x:v>
      </x:c>
      <x:c r="T10" s="47"/>
      <x:c r="U10" s="47"/>
      <x:c r="V10" s="47"/>
      <x:c r="W10" s="47"/>
      <x:c r="X10" s="47"/>
      <x:c r="Y10" s="47"/>
      <x:c r="Z10" s="52"/>
      <x:c r="AA10" s="52"/>
      <x:c r="AB10" s="47"/>
      <x:c r="AC10" s="23" t="str">
        <x:v>runs/run_25X8tgq2qpxb0Yyc/initial_evaluation/process_evaluation.json</x:v>
      </x:c>
    </x:row>
    <x:row r="11" ht="76" customHeight="1">
      <x:c r="A11" s="43" t="n">
        <x:v>6</x:v>
      </x:c>
      <x:c r="B11" s="43" t="str">
        <x:v>run_aI26zu6L1yVpXpr</x:v>
      </x:c>
      <x:c r="C11" s="43" t="str">
        <x:v>noip2016_junior_magic</x:v>
      </x:c>
      <x:c r="D11" s="43" t="str">
        <x:v>魔法阵</x:v>
      </x:c>
      <x:c r="E11" s="43" t="str">
        <x:v>普及+/提高−</x:v>
      </x:c>
      <x:c r="F11" s="43" t="str">
        <x:v>正确答案告警</x:v>
      </x:c>
      <x:c r="G11" s="43" t="str">
        <x:v>AC</x:v>
      </x:c>
      <x:c r="H11" s="43" t="str">
        <x:v>20/20</x:v>
      </x:c>
      <x:c r="I11" s="44" t="b">
        <x:v>1</x:v>
      </x:c>
      <x:c r="J11" s="44" t="b">
        <x:v>0</x:v>
      </x:c>
      <x:c r="K11" s="43" t="str">
        <x:v>R6</x:v>
      </x:c>
      <x:c r="L11" s="43" t="str">
        <x:v>RESULT_CORRECT_PROCESS_INVALID</x:v>
      </x:c>
      <x:c r="M11" s="44" t="b">
        <x:v>1</x:v>
      </x:c>
      <x:c r="N11" s="44" t="b">
        <x:v>0</x:v>
      </x:c>
      <x:c r="O11" s="43" t="str">
        <x:v>R5</x:v>
      </x:c>
      <x:c r="P11" s="43" t="str">
        <x:v>RESULT_CORRECT_PROCESS_INVALID</x:v>
      </x:c>
      <x:c r="Q11" s="49" t="str">
        <x:v>存在真实过程瑕疵，但评估器首错定位偏晚：最早的可证伪陈述在 R5，而不是 R6。</x:v>
      </x:c>
      <x:c r="R11" s="49" t="str">
        <x:v>确定性判题为 AC（20/20）。 | R5 声称约 2500 万次操作；按每个 t 的多轮线性扫描重算约为 1.5 亿次，具体数量级陈述错误。 | R6 的 freopen 本身由 Solver 工作流强制要求；把 R6 作为首错忽略了 R5 更早出现的错误复杂度陈述。</x:v>
      </x:c>
      <x:c r="S11" s="47" t="str">
        <x:v>待人工复核</x:v>
      </x:c>
      <x:c r="T11" s="47"/>
      <x:c r="U11" s="47"/>
      <x:c r="V11" s="47"/>
      <x:c r="W11" s="47"/>
      <x:c r="X11" s="47"/>
      <x:c r="Y11" s="47"/>
      <x:c r="Z11" s="52"/>
      <x:c r="AA11" s="52"/>
      <x:c r="AB11" s="47"/>
      <x:c r="AC11" s="23" t="str">
        <x:v>runs/run_aI26zu6L1yVpXpr/initial_evaluation/process_evaluation.json</x:v>
      </x:c>
    </x:row>
    <x:row r="12" ht="76" customHeight="1">
      <x:c r="A12" s="43" t="n">
        <x:v>7</x:v>
      </x:c>
      <x:c r="B12" s="43" t="str">
        <x:v>run_Y7Ys6c6YegTHoMdR</x:v>
      </x:c>
      <x:c r="C12" s="43" t="str">
        <x:v>noip2020_senior_string</x:v>
      </x:c>
      <x:c r="D12" s="43" t="str">
        <x:v>字符串匹配</x:v>
      </x:c>
      <x:c r="E12" s="43" t="str">
        <x:v>提高+/省选−</x:v>
      </x:c>
      <x:c r="F12" s="43" t="str">
        <x:v>正确答案告警</x:v>
      </x:c>
      <x:c r="G12" s="43" t="str">
        <x:v>AC</x:v>
      </x:c>
      <x:c r="H12" s="43" t="str">
        <x:v>25/25</x:v>
      </x:c>
      <x:c r="I12" s="44" t="b">
        <x:v>1</x:v>
      </x:c>
      <x:c r="J12" s="44" t="b">
        <x:v>0</x:v>
      </x:c>
      <x:c r="K12" s="43" t="str">
        <x:v>S6</x:v>
      </x:c>
      <x:c r="L12" s="43" t="str">
        <x:v>RESULT_CORRECT_PROCESS_INVALID</x:v>
      </x:c>
      <x:c r="M12" s="44" t="b">
        <x:v>1</x:v>
      </x:c>
      <x:c r="N12" s="44" t="b">
        <x:v>0</x:v>
      </x:c>
      <x:c r="O12" s="43" t="str">
        <x:v>S6</x:v>
      </x:c>
      <x:c r="P12" s="43" t="str">
        <x:v>RESULT_CORRECT_PROCESS_INVALID</x:v>
      </x:c>
      <x:c r="Q12" s="49" t="str">
        <x:v>真实过程问题，S6 的文字步骤漏写初始插入 g[1]，与实际正确代码不一致。</x:v>
      </x:c>
      <x:c r="R12" s="49" t="str">
        <x:v>确定性判题为 AC（25/25）。 | 若严格按 S6 的文字仅在每轮后加入 g[L]，处理 L=2 时不会包含唯一合法的 a=1。 | 初始 C++ 在循环前实际执行 freq[g[1]]++，证明代码正确但过程说明缺失关键基例。</x:v>
      </x:c>
      <x:c r="S12" s="47" t="str">
        <x:v>待人工复核</x:v>
      </x:c>
      <x:c r="T12" s="47"/>
      <x:c r="U12" s="47"/>
      <x:c r="V12" s="47"/>
      <x:c r="W12" s="47"/>
      <x:c r="X12" s="47"/>
      <x:c r="Y12" s="47"/>
      <x:c r="Z12" s="52"/>
      <x:c r="AA12" s="52"/>
      <x:c r="AB12" s="47"/>
      <x:c r="AC12" s="23" t="str">
        <x:v>runs/run_Y7Ys6c6YegTHoMdR/initial_evaluation/process_evaluation.json</x:v>
      </x:c>
    </x:row>
    <x:row r="13" ht="76" customHeight="1">
      <x:c r="A13" s="43" t="n">
        <x:v>8</x:v>
      </x:c>
      <x:c r="B13" s="43" t="str">
        <x:v>run_NTDFmqoRKKpYRFY2</x:v>
      </x:c>
      <x:c r="C13" s="43" t="str">
        <x:v>noip2022_senior_barrack</x:v>
      </x:c>
      <x:c r="D13" s="43" t="str">
        <x:v>建造军营</x:v>
      </x:c>
      <x:c r="E13" s="43" t="str">
        <x:v>提高+/省选−</x:v>
      </x:c>
      <x:c r="F13" s="43" t="str">
        <x:v>错误答案首错定位</x:v>
      </x:c>
      <x:c r="G13" s="43" t="str">
        <x:v>WA</x:v>
      </x:c>
      <x:c r="H13" s="43" t="str">
        <x:v>0/20</x:v>
      </x:c>
      <x:c r="I13" s="44" t="b">
        <x:v>0</x:v>
      </x:c>
      <x:c r="J13" s="44" t="b">
        <x:v>0</x:v>
      </x:c>
      <x:c r="K13" s="43" t="str">
        <x:v>S8</x:v>
      </x:c>
      <x:c r="L13" s="43" t="str">
        <x:v>WRONG_ALGORITHM</x:v>
      </x:c>
      <x:c r="M13" s="44" t="b">
        <x:v>0</x:v>
      </x:c>
      <x:c r="N13" s="44" t="b">
        <x:v>0</x:v>
      </x:c>
      <x:c r="O13" s="43" t="str">
        <x:v>S8</x:v>
      </x:c>
      <x:c r="P13" s="43" t="str">
        <x:v>WRONG_ALGORITHM</x:v>
      </x:c>
      <x:c r="Q13" s="49" t="str">
        <x:v>定位正确。S8 的树 DP 漏计当前分量权重，反例和修复轨迹均支持该结论。</x:v>
      </x:c>
      <x:c r="R13" s="49" t="str">
        <x:v>初始版本确定性判题为 WA（0/20）。 | 单节点和两节点桥树即可验证 S8 递推漏掉 a_u，评审记录给出可手算反例。 | 修复 S8/S9 后达到 20/20 且过程评审通过。</x:v>
      </x:c>
      <x:c r="S13" s="47" t="str">
        <x:v>待人工复核</x:v>
      </x:c>
      <x:c r="T13" s="47"/>
      <x:c r="U13" s="47"/>
      <x:c r="V13" s="47"/>
      <x:c r="W13" s="47"/>
      <x:c r="X13" s="47"/>
      <x:c r="Y13" s="47"/>
      <x:c r="Z13" s="52"/>
      <x:c r="AA13" s="52"/>
      <x:c r="AB13" s="47"/>
      <x:c r="AC13" s="23" t="str">
        <x:v>runs/run_NTDFmqoRKKpYRFY2/initial_evaluation/process_evaluation.json</x:v>
      </x:c>
    </x:row>
    <x:row r="14" ht="76" customHeight="1">
      <x:c r="A14" s="43" t="n">
        <x:v>9</x:v>
      </x:c>
      <x:c r="B14" s="43" t="str">
        <x:v>run_m4f2CLks1kqFAPhO</x:v>
      </x:c>
      <x:c r="C14" s="43" t="str">
        <x:v>csps2021_senior_airport</x:v>
      </x:c>
      <x:c r="D14" s="43" t="str">
        <x:v>廊桥分配</x:v>
      </x:c>
      <x:c r="E14" s="43" t="str">
        <x:v>普及+/提高−</x:v>
      </x:c>
      <x:c r="F14" s="43" t="str">
        <x:v>错误答案首错定位</x:v>
      </x:c>
      <x:c r="G14" s="43" t="str">
        <x:v>WA</x:v>
      </x:c>
      <x:c r="H14" s="43" t="str">
        <x:v>5/20</x:v>
      </x:c>
      <x:c r="I14" s="44" t="b">
        <x:v>0</x:v>
      </x:c>
      <x:c r="J14" s="44" t="b">
        <x:v>0</x:v>
      </x:c>
      <x:c r="K14" s="43" t="str">
        <x:v>S2</x:v>
      </x:c>
      <x:c r="L14" s="43" t="str">
        <x:v>WRONG_ALGORITHM</x:v>
      </x:c>
      <x:c r="M14" s="44" t="b">
        <x:v>0</x:v>
      </x:c>
      <x:c r="N14" s="44" t="b">
        <x:v>0</x:v>
      </x:c>
      <x:c r="O14" s="43" t="str">
        <x:v>S2</x:v>
      </x:c>
      <x:c r="P14" s="43" t="str">
        <x:v>WRONG_ALGORITHM</x:v>
      </x:c>
      <x:c r="Q14" s="49" t="str">
        <x:v>定位正确。S2 复用最早释放的编号，而不是最小空闲编号，破坏了前缀计数含义。</x:v>
      </x:c>
      <x:c r="R14" s="49" t="str">
        <x:v>初始版本确定性判题为 WA（5/20）。 | 项目记录的 6 航班反例显示原分配得到编号 [1,2,3,4,5,5]，但 4 个廊桥应可停靠 5 架。 | 修复版增加空闲编号最小堆后达到 20/20。</x:v>
      </x:c>
      <x:c r="S14" s="47" t="str">
        <x:v>待人工复核</x:v>
      </x:c>
      <x:c r="T14" s="47"/>
      <x:c r="U14" s="47"/>
      <x:c r="V14" s="47"/>
      <x:c r="W14" s="47"/>
      <x:c r="X14" s="47"/>
      <x:c r="Y14" s="47"/>
      <x:c r="Z14" s="52"/>
      <x:c r="AA14" s="52"/>
      <x:c r="AB14" s="47"/>
      <x:c r="AC14" s="23" t="str">
        <x:v>runs/run_m4f2CLks1kqFAPhO/initial_evaluation/process_evaluation.json</x:v>
      </x:c>
    </x:row>
    <x:row r="15" ht="76" customHeight="1">
      <x:c r="A15" s="45" t="n">
        <x:v>10</x:v>
      </x:c>
      <x:c r="B15" s="45" t="str">
        <x:v>run_ogSNVlvSTdibvV9T</x:v>
      </x:c>
      <x:c r="C15" s="45" t="str">
        <x:v>csps2024_senior_detect</x:v>
      </x:c>
      <x:c r="D15" s="45" t="str">
        <x:v>超速检测</x:v>
      </x:c>
      <x:c r="E15" s="45" t="str">
        <x:v>普及+/提高−</x:v>
      </x:c>
      <x:c r="F15" s="45" t="str">
        <x:v>错误答案首错定位</x:v>
      </x:c>
      <x:c r="G15" s="45" t="str">
        <x:v>WA</x:v>
      </x:c>
      <x:c r="H15" s="45" t="str">
        <x:v>4/10</x:v>
      </x:c>
      <x:c r="I15" s="46" t="b">
        <x:v>0</x:v>
      </x:c>
      <x:c r="J15" s="46" t="b">
        <x:v>0</x:v>
      </x:c>
      <x:c r="K15" s="45" t="str">
        <x:v>S3</x:v>
      </x:c>
      <x:c r="L15" s="45" t="str">
        <x:v>WRONG_ALGORITHM</x:v>
      </x:c>
      <x:c r="M15" s="46" t="b">
        <x:v>0</x:v>
      </x:c>
      <x:c r="N15" s="46" t="b">
        <x:v>0</x:v>
      </x:c>
      <x:c r="O15" s="45" t="str">
        <x:v>S3</x:v>
      </x:c>
      <x:c r="P15" s="45" t="str">
        <x:v>WRONG_ALGORITHM</x:v>
      </x:c>
      <x:c r="Q15" s="50" t="str">
        <x:v>定位正确。S3 对负加速度车辆错误假设判定谓词全局单调。</x:v>
      </x:c>
      <x:c r="R15" s="50" t="str">
        <x:v>初始版本确定性判题为 WA（4/10），失败点与负加速度数据对应。 | p=[0,10,50], d=0, a=-1, v=10, V=1 时谓词呈真后假，原 lower_bound 逻辑会漏掉可检测区间。 | 按加速度符号分支并解析区间后达到 10/10。</x:v>
      </x:c>
      <x:c r="S15" s="28" t="str">
        <x:v>待人工复核</x:v>
      </x:c>
      <x:c r="T15" s="28"/>
      <x:c r="U15" s="28"/>
      <x:c r="V15" s="28"/>
      <x:c r="W15" s="28"/>
      <x:c r="X15" s="28"/>
      <x:c r="Y15" s="28"/>
      <x:c r="Z15" s="53"/>
      <x:c r="AA15" s="53"/>
      <x:c r="AB15" s="28"/>
      <x:c r="AC15" s="25" t="str">
        <x:v>runs/run_ogSNVlvSTdibvV9T/initial_evaluation/process_evaluation.json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</x:row>
  </x:sheetData>
  <x:conditionalFormatting sqref="S6:S15">
    <x:cfRule type="containsText" dxfId="0" priority="1" operator="containsText" text="已完成"/>
    <x:cfRule type="containsText" dxfId="1" priority="2" operator="containsText" text="待人工复核"/>
  </x:conditionalFormatting>
  <x:dataValidations count="3">
    <x:dataValidation type="list" sqref="S6:S15">
      <x:formula1>"待人工复核,复核中,已完成,需裁决"</x:formula1>
    </x:dataValidation>
    <x:dataValidation type="list" sqref="V6:W15">
      <x:formula1>"是,否"</x:formula1>
    </x:dataValidation>
    <x:dataValidation type="list" sqref="Y6:Y15">
      <x:formula1>"STATEMENT_MISREAD,CONSTRAINT_OMISSION,WRONG_ALGORITHM,PROOF_GAP,CIRCULAR_REASONING,HALLUCINATED_CLAIM,COMPLEXITY_TLE,COMPLEXITY_MLE,BOUNDARY_ERROR,INTEGER_OVERFLOW,STATE_TRANSITION_ERROR,IMPLEMENTATION_MISMATCH,IO_OR_FORMAT_ERROR,COMPILE_ERROR,RUNTIME_ERROR,RESULT_CORRECT_PROCESS_INVALID,UN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ce573c8afc4f95"/>
  </x:tableParts>
</x:worksheet>
</file>

<file path=xl/worksheets/sheet4.xml><?xml version="1.0" encoding="utf-8"?>
<x:worksheet xmlns:x="http://schemas.openxmlformats.org/spreadsheetml/2006/main">
  <x:sheetPr>
    <x:tabColor rgb="FF78909C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40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  <x:col min="15" max="15" width="31" hidden="0" customWidth="1"/>
    <x:col min="16" max="16" width="13" hidden="0" customWidth="1"/>
    <x:col min="17" max="17" width="13" hidden="0" customWidth="1"/>
    <x:col min="18" max="18" width="13" hidden="0" customWidth="1"/>
    <x:col min="19" max="19" width="72" hidden="0" customWidth="1"/>
    <x:col min="20" max="20" width="34" hidden="0" customWidth="1"/>
  </x:cols>
  <x:sheetData>
    <x:row r="1" ht="30" customHeight="1">
      <x:c r="A1" s="17" t="str">
        <x:v>案例 ID</x:v>
      </x:c>
      <x:c r="B1" s="18" t="str">
        <x:v>运行 ID</x:v>
      </x:c>
      <x:c r="C1" s="18" t="str">
        <x:v>题目 ID</x:v>
      </x:c>
      <x:c r="D1" s="18" t="str">
        <x:v>题目</x:v>
      </x:c>
      <x:c r="E1" s="18" t="str">
        <x:v>难度</x:v>
      </x:c>
      <x:c r="F1" s="18" t="str">
        <x:v>阶段</x:v>
      </x:c>
      <x:c r="G1" s="18" t="str">
        <x:v>序号</x:v>
      </x:c>
      <x:c r="H1" s="18" t="str">
        <x:v>版本</x:v>
      </x:c>
      <x:c r="I1" s="18" t="str">
        <x:v>Judge</x:v>
      </x:c>
      <x:c r="J1" s="18" t="str">
        <x:v>通过</x:v>
      </x:c>
      <x:c r="K1" s="18" t="str">
        <x:v>总数</x:v>
      </x:c>
      <x:c r="L1" s="18" t="str">
        <x:v>答案正确</x:v>
      </x:c>
      <x:c r="M1" s="18" t="str">
        <x:v>过程正确</x:v>
      </x:c>
      <x:c r="N1" s="18" t="str">
        <x:v>首错步骤</x:v>
      </x:c>
      <x:c r="O1" s="18" t="str">
        <x:v>错误类型</x:v>
      </x:c>
      <x:c r="P1" s="18" t="str">
        <x:v>置信度</x:v>
      </x:c>
      <x:c r="Q1" s="18" t="str">
        <x:v>改善</x:v>
      </x:c>
      <x:c r="R1" s="18" t="str">
        <x:v>仅证明修订</x:v>
      </x:c>
      <x:c r="S1" s="18" t="str">
        <x:v>证据摘录</x:v>
      </x:c>
      <x:c r="T1" s="19" t="str">
        <x:v>来源</x:v>
      </x:c>
    </x:row>
    <x:row r="2" ht="25" customHeight="1">
      <x:c r="A2" s="21" t="str">
        <x:v>run_U3dSbFG7mYQvk1i:r000:initial</x:v>
      </x:c>
      <x:c r="B2" s="21" t="str">
        <x:v>run_U3dSbFG7mYQvk1i</x:v>
      </x:c>
      <x:c r="C2" s="21" t="str">
        <x:v>money</x:v>
      </x:c>
      <x:c r="D2" s="21" t="str">
        <x:v>货币系统</x:v>
      </x:c>
      <x:c r="E2" s="21" t="str">
        <x:v>普及+/提高−</x:v>
      </x:c>
      <x:c r="F2" s="21" t="str">
        <x:v>initial</x:v>
      </x:c>
      <x:c r="G2" s="21" t="n">
        <x:v>0</x:v>
      </x:c>
      <x:c r="H2" s="21" t="str">
        <x:v>r000</x:v>
      </x:c>
      <x:c r="I2" s="21" t="str">
        <x:v>RE</x:v>
      </x:c>
      <x:c r="J2" s="21" t="n">
        <x:v>0</x:v>
      </x:c>
      <x:c r="K2" s="21" t="n">
        <x:v>20</x:v>
      </x:c>
      <x:c r="L2" s="38" t="b">
        <x:v>0</x:v>
      </x:c>
      <x:c r="M2" s="38" t="b">
        <x:v>1</x:v>
      </x:c>
      <x:c r="N2" s="21"/>
      <x:c r="O2" s="21" t="str">
        <x:v>RUNTIME_ERROR</x:v>
      </x:c>
      <x:c r="P2" s="54" t="n">
        <x:v>1</x:v>
      </x:c>
      <x:c r="Q2" s="21"/>
      <x:c r="R2" s="21"/>
      <x:c r="S2" s="57" t="str">
        <x:v>deterministic_judge_verdict=RE | algorithm_critic: Reconstructed reference algorithm: sort denominations, then greedily keep those not representable by previously kept smaller ones using boolean DP (unbounded knapsack) u</x:v>
      </x:c>
      <x:c r="T2" s="21" t="str">
        <x:v>runs/run_U3dSbFG7mYQvk1i</x:v>
      </x:c>
    </x:row>
    <x:row r="3" ht="25" customHeight="1">
      <x:c r="A3" s="23" t="str">
        <x:v>run_U3dSbFG7mYQvk1i:r001:repair</x:v>
      </x:c>
      <x:c r="B3" s="23" t="str">
        <x:v>run_U3dSbFG7mYQvk1i</x:v>
      </x:c>
      <x:c r="C3" s="23" t="str">
        <x:v>money</x:v>
      </x:c>
      <x:c r="D3" s="23" t="str">
        <x:v>货币系统</x:v>
      </x:c>
      <x:c r="E3" s="23" t="str">
        <x:v>普及+/提高−</x:v>
      </x:c>
      <x:c r="F3" s="23" t="str">
        <x:v>repair</x:v>
      </x:c>
      <x:c r="G3" s="23" t="n">
        <x:v>1</x:v>
      </x:c>
      <x:c r="H3" s="23" t="str">
        <x:v>r001</x:v>
      </x:c>
      <x:c r="I3" s="23" t="str">
        <x:v>RE</x:v>
      </x:c>
      <x:c r="J3" s="23" t="n">
        <x:v>0</x:v>
      </x:c>
      <x:c r="K3" s="23" t="n">
        <x:v>20</x:v>
      </x:c>
      <x:c r="L3" s="39" t="b">
        <x:v>0</x:v>
      </x:c>
      <x:c r="M3" s="39" t="b">
        <x:v>1</x:v>
      </x:c>
      <x:c r="N3" s="23"/>
      <x:c r="O3" s="23" t="str">
        <x:v>RUNTIME_ERROR</x:v>
      </x:c>
      <x:c r="P3" s="55" t="n">
        <x:v>1</x:v>
      </x:c>
      <x:c r="Q3" s="39" t="b">
        <x:v>0</x:v>
      </x:c>
      <x:c r="R3" s="23"/>
      <x:c r="S3" s="58" t="str">
        <x:v>deterministic_judge_verdict=RE | algorithm_critic: Reference algorithm: sort denominations, DP up to max value, greedily keep those not representable by smaller kept coins, count them. This yields minimal equivalent syst</x:v>
      </x:c>
      <x:c r="T3" s="23" t="str">
        <x:v>runs/run_U3dSbFG7mYQvk1i</x:v>
      </x:c>
    </x:row>
    <x:row r="4" ht="25" customHeight="1">
      <x:c r="A4" s="23" t="str">
        <x:v>run_U3dSbFG7mYQvk1i:r002:repair</x:v>
      </x:c>
      <x:c r="B4" s="23" t="str">
        <x:v>run_U3dSbFG7mYQvk1i</x:v>
      </x:c>
      <x:c r="C4" s="23" t="str">
        <x:v>money</x:v>
      </x:c>
      <x:c r="D4" s="23" t="str">
        <x:v>货币系统</x:v>
      </x:c>
      <x:c r="E4" s="23" t="str">
        <x:v>普及+/提高−</x:v>
      </x:c>
      <x:c r="F4" s="23" t="str">
        <x:v>repair</x:v>
      </x:c>
      <x:c r="G4" s="23" t="n">
        <x:v>2</x:v>
      </x:c>
      <x:c r="H4" s="23" t="str">
        <x:v>r002</x:v>
      </x:c>
      <x:c r="I4" s="23" t="str">
        <x:v>RE</x:v>
      </x:c>
      <x:c r="J4" s="23" t="n">
        <x:v>0</x:v>
      </x:c>
      <x:c r="K4" s="23" t="n">
        <x:v>20</x:v>
      </x:c>
      <x:c r="L4" s="39" t="b">
        <x:v>0</x:v>
      </x:c>
      <x:c r="M4" s="39" t="b">
        <x:v>1</x:v>
      </x:c>
      <x:c r="N4" s="23"/>
      <x:c r="O4" s="23" t="str">
        <x:v>RUNTIME_ERROR</x:v>
      </x:c>
      <x:c r="P4" s="55" t="n">
        <x:v>1</x:v>
      </x:c>
      <x:c r="Q4" s="39" t="b">
        <x:v>0</x:v>
      </x:c>
      <x:c r="R4" s="23"/>
      <x:c r="S4" s="58" t="str">
        <x:v>deterministic_judge_verdict=RE | algorithm_critic: Reconstructed reference: sort a, maintain boolean DP of representable values by selected subset, scan ascending, keep x if dp[x] false and update DP (unbounded knapsack)</x:v>
      </x:c>
      <x:c r="T4" s="23" t="str">
        <x:v>runs/run_U3dSbFG7mYQvk1i</x:v>
      </x:c>
    </x:row>
    <x:row r="5" ht="25" customHeight="1">
      <x:c r="A5" s="23" t="str">
        <x:v>run_yHNcIv0bZL87GTJJ:r000:initial</x:v>
      </x:c>
      <x:c r="B5" s="23" t="str">
        <x:v>run_yHNcIv0bZL87GTJJ</x:v>
      </x:c>
      <x:c r="C5" s="23" t="str">
        <x:v>money</x:v>
      </x:c>
      <x:c r="D5" s="23" t="str">
        <x:v>货币系统</x:v>
      </x:c>
      <x:c r="E5" s="23" t="str">
        <x:v>普及+/提高−</x:v>
      </x:c>
      <x:c r="F5" s="23" t="str">
        <x:v>initial</x:v>
      </x:c>
      <x:c r="G5" s="23" t="n">
        <x:v>0</x:v>
      </x:c>
      <x:c r="H5" s="23" t="str">
        <x:v>r000</x:v>
      </x:c>
      <x:c r="I5" s="23" t="str">
        <x:v>RE</x:v>
      </x:c>
      <x:c r="J5" s="23" t="n">
        <x:v>0</x:v>
      </x:c>
      <x:c r="K5" s="23" t="n">
        <x:v>20</x:v>
      </x:c>
      <x:c r="L5" s="39" t="b">
        <x:v>0</x:v>
      </x:c>
      <x:c r="M5" s="39" t="b">
        <x:v>1</x:v>
      </x:c>
      <x:c r="N5" s="23"/>
      <x:c r="O5" s="23" t="str">
        <x:v>RUNTIME_ERROR</x:v>
      </x:c>
      <x:c r="P5" s="55" t="n">
        <x:v>1</x:v>
      </x:c>
      <x:c r="Q5" s="23"/>
      <x:c r="R5" s="23"/>
      <x:c r="S5" s="58" t="str">
        <x:v>deterministic_judge_verdict=RE | algorithm_critic: Reference algorithm is the standard NOIP2018 money solution: sort denominations, use boolean unbounded-knapsack DP to count elements not representable by smaller selecte</x:v>
      </x:c>
      <x:c r="T5" s="23" t="str">
        <x:v>runs/run_yHNcIv0bZL87GTJJ</x:v>
      </x:c>
    </x:row>
    <x:row r="6" ht="25" customHeight="1">
      <x:c r="A6" s="23" t="str">
        <x:v>run_yHNcIv0bZL87GTJJ:r001:repair</x:v>
      </x:c>
      <x:c r="B6" s="23" t="str">
        <x:v>run_yHNcIv0bZL87GTJJ</x:v>
      </x:c>
      <x:c r="C6" s="23" t="str">
        <x:v>money</x:v>
      </x:c>
      <x:c r="D6" s="23" t="str">
        <x:v>货币系统</x:v>
      </x:c>
      <x:c r="E6" s="23" t="str">
        <x:v>普及+/提高−</x:v>
      </x:c>
      <x:c r="F6" s="23" t="str">
        <x:v>repair</x:v>
      </x:c>
      <x:c r="G6" s="23" t="n">
        <x:v>1</x:v>
      </x:c>
      <x:c r="H6" s="23" t="str">
        <x:v>r001</x:v>
      </x:c>
      <x:c r="I6" s="23" t="str">
        <x:v>RE</x:v>
      </x:c>
      <x:c r="J6" s="23" t="n">
        <x:v>0</x:v>
      </x:c>
      <x:c r="K6" s="23" t="n">
        <x:v>20</x:v>
      </x:c>
      <x:c r="L6" s="39" t="b">
        <x:v>0</x:v>
      </x:c>
      <x:c r="M6" s="39" t="b">
        <x:v>0</x:v>
      </x:c>
      <x:c r="N6" s="23"/>
      <x:c r="O6" s="23" t="str">
        <x:v>PROOF_GAP</x:v>
      </x:c>
      <x:c r="P6" s="55" t="n">
        <x:v>1</x:v>
      </x:c>
      <x:c r="Q6" s="39" t="b">
        <x:v>0</x:v>
      </x:c>
      <x:c r="R6" s="23"/>
      <x:c r="S6" s="58" t="str">
        <x:v>deterministic_judge_verdict=RE | algorithm_critic: Reference algorithm is correct: sort denominations, use boolean DP to greedily count irreducible elements, which equals size of minimal equivalent currency system. Steps</x:v>
      </x:c>
      <x:c r="T6" s="23" t="str">
        <x:v>runs/run_yHNcIv0bZL87GTJJ</x:v>
      </x:c>
    </x:row>
    <x:row r="7" ht="25" customHeight="1">
      <x:c r="A7" s="23" t="str">
        <x:v>run_yHNcIv0bZL87GTJJ:r002:repair</x:v>
      </x:c>
      <x:c r="B7" s="23" t="str">
        <x:v>run_yHNcIv0bZL87GTJJ</x:v>
      </x:c>
      <x:c r="C7" s="23" t="str">
        <x:v>money</x:v>
      </x:c>
      <x:c r="D7" s="23" t="str">
        <x:v>货币系统</x:v>
      </x:c>
      <x:c r="E7" s="23" t="str">
        <x:v>普及+/提高−</x:v>
      </x:c>
      <x:c r="F7" s="23" t="str">
        <x:v>repair</x:v>
      </x:c>
      <x:c r="G7" s="23" t="n">
        <x:v>2</x:v>
      </x:c>
      <x:c r="H7" s="23" t="str">
        <x:v>r002</x:v>
      </x:c>
      <x:c r="I7" s="23" t="str">
        <x:v>RE</x:v>
      </x:c>
      <x:c r="J7" s="23" t="n">
        <x:v>0</x:v>
      </x:c>
      <x:c r="K7" s="23" t="n">
        <x:v>20</x:v>
      </x:c>
      <x:c r="L7" s="39" t="b">
        <x:v>0</x:v>
      </x:c>
      <x:c r="M7" s="39" t="b">
        <x:v>1</x:v>
      </x:c>
      <x:c r="N7" s="23"/>
      <x:c r="O7" s="23" t="str">
        <x:v>RUNTIME_ERROR</x:v>
      </x:c>
      <x:c r="P7" s="55" t="n">
        <x:v>1</x:v>
      </x:c>
      <x:c r="Q7" s="39" t="b">
        <x:v>0</x:v>
      </x:c>
      <x:c r="R7" s="23"/>
      <x:c r="S7" s="58" t="str">
        <x:v>deterministic_judge_verdict=RE | algorithm_critic: Independently reconstructed reference algorithm: sort denominations ascending, then greedily select those not representable by previously selected smaller coins via bool</x:v>
      </x:c>
      <x:c r="T7" s="23" t="str">
        <x:v>runs/run_yHNcIv0bZL87GTJJ</x:v>
      </x:c>
    </x:row>
    <x:row r="8" ht="25" customHeight="1">
      <x:c r="A8" s="23" t="str">
        <x:v>run_7xCuFaUSouoX3XBx:r000:initial</x:v>
      </x:c>
      <x:c r="B8" s="23" t="str">
        <x:v>run_7xCuFaUSouoX3XBx</x:v>
      </x:c>
      <x:c r="C8" s="23" t="str">
        <x:v>road</x:v>
      </x:c>
      <x:c r="D8" s="23" t="str">
        <x:v>铺设道路</x:v>
      </x:c>
      <x:c r="E8" s="23" t="str">
        <x:v>普及</x:v>
      </x:c>
      <x:c r="F8" s="23" t="str">
        <x:v>initial</x:v>
      </x:c>
      <x:c r="G8" s="23" t="n">
        <x:v>0</x:v>
      </x:c>
      <x:c r="H8" s="23" t="str">
        <x:v>r000</x:v>
      </x:c>
      <x:c r="I8" s="23" t="str">
        <x:v>AC</x:v>
      </x:c>
      <x:c r="J8" s="23" t="n">
        <x:v>10</x:v>
      </x:c>
      <x:c r="K8" s="23" t="n">
        <x:v>10</x:v>
      </x:c>
      <x:c r="L8" s="39" t="b">
        <x:v>1</x:v>
      </x:c>
      <x:c r="M8" s="39" t="b">
        <x:v>1</x:v>
      </x:c>
      <x:c r="N8" s="23"/>
      <x:c r="O8" s="23" t="str">
        <x:v>UNRESOLVED</x:v>
      </x:c>
      <x:c r="P8" s="55" t="n">
        <x:v>0.9</x:v>
      </x:c>
      <x:c r="Q8" s="23"/>
      <x:c r="R8" s="23"/>
      <x:c r="S8" s="58" t="str">
        <x:v>algorithm_critic: Reference algorithm: answer = d[0] + sum_{i=1}^{n-1} max(0, d[i]-d[i-1]), O(n) time O(1) space. All steps S1-S7 are logically sound, proofs correct, boundary cases satisfied, complexity appropriate. No </x:v>
      </x:c>
      <x:c r="T8" s="23" t="str">
        <x:v>runs/run_7xCuFaUSouoX3XBx</x:v>
      </x:c>
    </x:row>
    <x:row r="9" ht="25" customHeight="1">
      <x:c r="A9" s="23" t="str">
        <x:v>run_Dwq5kWBqPd8K3Tqb:r000:initial</x:v>
      </x:c>
      <x:c r="B9" s="23" t="str">
        <x:v>run_Dwq5kWBqPd8K3Tqb</x:v>
      </x:c>
      <x:c r="C9" s="23" t="str">
        <x:v>track</x:v>
      </x:c>
      <x:c r="D9" s="23" t="str">
        <x:v>赛道修建</x:v>
      </x:c>
      <x:c r="E9" s="23" t="str">
        <x:v>提高</x:v>
      </x:c>
      <x:c r="F9" s="23" t="str">
        <x:v>initial</x:v>
      </x:c>
      <x:c r="G9" s="23" t="n">
        <x:v>0</x:v>
      </x:c>
      <x:c r="H9" s="23" t="str">
        <x:v>r000</x:v>
      </x:c>
      <x:c r="I9" s="23" t="str">
        <x:v>WA</x:v>
      </x:c>
      <x:c r="J9" s="23" t="n">
        <x:v>16</x:v>
      </x:c>
      <x:c r="K9" s="23" t="n">
        <x:v>20</x:v>
      </x:c>
      <x:c r="L9" s="39" t="b">
        <x:v>0</x:v>
      </x:c>
      <x:c r="M9" s="39" t="b">
        <x:v>1</x:v>
      </x:c>
      <x:c r="N9" s="23"/>
      <x:c r="O9" s="23" t="str">
        <x:v>IMPLEMENTATION_MISMATCH</x:v>
      </x:c>
      <x:c r="P9" s="55" t="n">
        <x:v>1</x:v>
      </x:c>
      <x:c r="Q9" s="23"/>
      <x:c r="R9" s="23"/>
      <x:c r="S9" s="58" t="str">
        <x:v>deterministic_judge_verdict=WA | algorithm_critic: Reconstructed reference: binary search on candidate minimum length X, with DFS greedy DP that counts child chains &gt;=X, pairs remaining short chains maximally, and return</x:v>
      </x:c>
      <x:c r="T9" s="23" t="str">
        <x:v>runs/run_Dwq5kWBqPd8K3Tqb</x:v>
      </x:c>
    </x:row>
    <x:row r="10" ht="25" customHeight="1">
      <x:c r="A10" s="23" t="str">
        <x:v>run_Dwq5kWBqPd8K3Tqb:r001:repair</x:v>
      </x:c>
      <x:c r="B10" s="23" t="str">
        <x:v>run_Dwq5kWBqPd8K3Tqb</x:v>
      </x:c>
      <x:c r="C10" s="23" t="str">
        <x:v>track</x:v>
      </x:c>
      <x:c r="D10" s="23" t="str">
        <x:v>赛道修建</x:v>
      </x:c>
      <x:c r="E10" s="23" t="str">
        <x:v>提高</x:v>
      </x:c>
      <x:c r="F10" s="23" t="str">
        <x:v>repair</x:v>
      </x:c>
      <x:c r="G10" s="23" t="n">
        <x:v>1</x:v>
      </x:c>
      <x:c r="H10" s="23" t="str">
        <x:v>r001</x:v>
      </x:c>
      <x:c r="I10" s="23" t="str">
        <x:v>AC</x:v>
      </x:c>
      <x:c r="J10" s="23" t="n">
        <x:v>20</x:v>
      </x:c>
      <x:c r="K10" s="23" t="n">
        <x:v>20</x:v>
      </x:c>
      <x:c r="L10" s="39" t="b">
        <x:v>1</x:v>
      </x:c>
      <x:c r="M10" s="39" t="b">
        <x:v>1</x:v>
      </x:c>
      <x:c r="N10" s="23"/>
      <x:c r="O10" s="23" t="str">
        <x:v>UNRESOLVED</x:v>
      </x:c>
      <x:c r="P10" s="55" t="n">
        <x:v>0.9</x:v>
      </x:c>
      <x:c r="Q10" s="39" t="b">
        <x:v>1</x:v>
      </x:c>
      <x:c r="R10" s="23"/>
      <x:c r="S10" s="58" t="str">
        <x:v>algorithm_critic: Reconstructed reference: binary search on answer X with tree DP greedy pairing at each node. All steps S1-S6 are algorithmically sound. Proof obligations hold: local counting of &gt;=X chains is non-harmfu</x:v>
      </x:c>
      <x:c r="T10" s="23" t="str">
        <x:v>runs/run_Dwq5kWBqPd8K3Tqb</x:v>
      </x:c>
    </x:row>
    <x:row r="11" ht="25" customHeight="1">
      <x:c r="A11" s="23" t="str">
        <x:v>run_hrFicZzSxzEVtwNm:r000:initial</x:v>
      </x:c>
      <x:c r="B11" s="23" t="str">
        <x:v>run_hrFicZzSxzEVtwNm</x:v>
      </x:c>
      <x:c r="C11" s="23" t="str">
        <x:v>defense</x:v>
      </x:c>
      <x:c r="D11" s="23" t="str">
        <x:v>保卫王国</x:v>
      </x:c>
      <x:c r="E11" s="23" t="str">
        <x:v>省选/NOI−</x:v>
      </x:c>
      <x:c r="F11" s="23" t="str">
        <x:v>initial</x:v>
      </x:c>
      <x:c r="G11" s="23" t="n">
        <x:v>0</x:v>
      </x:c>
      <x:c r="H11" s="23" t="str">
        <x:v>r000</x:v>
      </x:c>
      <x:c r="I11" s="23" t="str">
        <x:v>WA</x:v>
      </x:c>
      <x:c r="J11" s="23" t="n">
        <x:v>12</x:v>
      </x:c>
      <x:c r="K11" s="23" t="n">
        <x:v>25</x:v>
      </x:c>
      <x:c r="L11" s="39" t="b">
        <x:v>0</x:v>
      </x:c>
      <x:c r="M11" s="39" t="b">
        <x:v>0</x:v>
      </x:c>
      <x:c r="N11" s="23" t="str">
        <x:v>S7</x:v>
      </x:c>
      <x:c r="O11" s="23" t="str">
        <x:v>STATE_TRANSITION_ERROR</x:v>
      </x:c>
      <x:c r="P11" s="55" t="n">
        <x:v>0.9666666666666667</x:v>
      </x:c>
      <x:c r="Q11" s="23"/>
      <x:c r="R11" s="23"/>
      <x:c r="S11" s="58" t="str">
        <x:v>deterministic_judge_verdict=WA | algorithm_critic: Reconstructed algorithm: minimum-weight vertex cover on tree via DP, accelerated for per-query forced two-node constraints using Dynamic DP with Heavy-Light Decompositio</x:v>
      </x:c>
      <x:c r="T11" s="23" t="str">
        <x:v>runs/run_hrFicZzSxzEVtwNm</x:v>
      </x:c>
    </x:row>
    <x:row r="12" ht="25" customHeight="1">
      <x:c r="A12" s="23" t="str">
        <x:v>run_hrFicZzSxzEVtwNm:r001:repair</x:v>
      </x:c>
      <x:c r="B12" s="23" t="str">
        <x:v>run_hrFicZzSxzEVtwNm</x:v>
      </x:c>
      <x:c r="C12" s="23" t="str">
        <x:v>defense</x:v>
      </x:c>
      <x:c r="D12" s="23" t="str">
        <x:v>保卫王国</x:v>
      </x:c>
      <x:c r="E12" s="23" t="str">
        <x:v>省选/NOI−</x:v>
      </x:c>
      <x:c r="F12" s="23" t="str">
        <x:v>repair</x:v>
      </x:c>
      <x:c r="G12" s="23" t="n">
        <x:v>1</x:v>
      </x:c>
      <x:c r="H12" s="23" t="str">
        <x:v>r001</x:v>
      </x:c>
      <x:c r="I12" s="23" t="str">
        <x:v>AC</x:v>
      </x:c>
      <x:c r="J12" s="23" t="n">
        <x:v>25</x:v>
      </x:c>
      <x:c r="K12" s="23" t="n">
        <x:v>25</x:v>
      </x:c>
      <x:c r="L12" s="39" t="b">
        <x:v>1</x:v>
      </x:c>
      <x:c r="M12" s="39" t="b">
        <x:v>0</x:v>
      </x:c>
      <x:c r="N12" s="23" t="str">
        <x:v>S5</x:v>
      </x:c>
      <x:c r="O12" s="23" t="str">
        <x:v>RESULT_CORRECT_PROCESS_INVALID</x:v>
      </x:c>
      <x:c r="P12" s="55" t="n">
        <x:v>0.9</x:v>
      </x:c>
      <x:c r="Q12" s="39" t="b">
        <x:v>1</x:v>
      </x:c>
      <x:c r="R12" s="23"/>
      <x:c r="S12" s="58" t="str">
        <x:v>Matrix [[INF,g0],[g1,g1]] correct for unconstrained DP, but 'forced states zero out invalid rows' is wrong: invalid rows must be set to INF (large) to forbid state, not zero (which would allow zero-cost invalid state). L</x:v>
      </x:c>
      <x:c r="T12" s="23" t="str">
        <x:v>runs/run_hrFicZzSxzEVtwNm</x:v>
      </x:c>
    </x:row>
    <x:row r="13" ht="25" customHeight="1">
      <x:c r="A13" s="23" t="str">
        <x:v>run_0RBbx1H0DHLxSwcm:r000:initial</x:v>
      </x:c>
      <x:c r="B13" s="23" t="str">
        <x:v>run_0RBbx1H0DHLxSwcm</x:v>
      </x:c>
      <x:c r="C13" s="23" t="str">
        <x:v>money</x:v>
      </x:c>
      <x:c r="D13" s="23" t="str">
        <x:v>货币系统</x:v>
      </x:c>
      <x:c r="E13" s="23" t="str">
        <x:v>普及+/提高−</x:v>
      </x:c>
      <x:c r="F13" s="23" t="str">
        <x:v>initial</x:v>
      </x:c>
      <x:c r="G13" s="23" t="n">
        <x:v>0</x:v>
      </x:c>
      <x:c r="H13" s="23" t="str">
        <x:v>r000</x:v>
      </x:c>
      <x:c r="I13" s="23" t="str">
        <x:v>AC</x:v>
      </x:c>
      <x:c r="J13" s="23" t="n">
        <x:v>20</x:v>
      </x:c>
      <x:c r="K13" s="23" t="n">
        <x:v>20</x:v>
      </x:c>
      <x:c r="L13" s="39" t="b">
        <x:v>1</x:v>
      </x:c>
      <x:c r="M13" s="39" t="b">
        <x:v>1</x:v>
      </x:c>
      <x:c r="N13" s="23"/>
      <x:c r="O13" s="23" t="str">
        <x:v>UNRESOLVED</x:v>
      </x:c>
      <x:c r="P13" s="55" t="n">
        <x:v>0.9</x:v>
      </x:c>
      <x:c r="Q13" s="23"/>
      <x:c r="R13" s="23"/>
      <x:c r="S13" s="58" t="str">
        <x:v>algorithm_critic: Reference algorithm reconstructed: for each test case sort denominations, use boolean DP up to max(a) to test if each denomination is representable by smaller selected ones; count those not representabl</x:v>
      </x:c>
      <x:c r="T13" s="23" t="str">
        <x:v>runs/run_0RBbx1H0DHLxSwcm</x:v>
      </x:c>
    </x:row>
    <x:row r="14" ht="25" customHeight="1">
      <x:c r="A14" s="23" t="str">
        <x:v>run_413ygPvc9xnUEt:r000:initial</x:v>
      </x:c>
      <x:c r="B14" s="23" t="str">
        <x:v>run_413ygPvc9xnUEt</x:v>
      </x:c>
      <x:c r="C14" s="23" t="str">
        <x:v>road</x:v>
      </x:c>
      <x:c r="D14" s="23" t="str">
        <x:v>铺设道路</x:v>
      </x:c>
      <x:c r="E14" s="23" t="str">
        <x:v>普及</x:v>
      </x:c>
      <x:c r="F14" s="23" t="str">
        <x:v>initial</x:v>
      </x:c>
      <x:c r="G14" s="23" t="n">
        <x:v>0</x:v>
      </x:c>
      <x:c r="H14" s="23" t="str">
        <x:v>r000</x:v>
      </x:c>
      <x:c r="I14" s="23" t="str">
        <x:v>WA</x:v>
      </x:c>
      <x:c r="J14" s="23" t="n">
        <x:v>1</x:v>
      </x:c>
      <x:c r="K14" s="23" t="n">
        <x:v>10</x:v>
      </x:c>
      <x:c r="L14" s="39" t="b">
        <x:v>0</x:v>
      </x:c>
      <x:c r="M14" s="39" t="b">
        <x:v>1</x:v>
      </x:c>
      <x:c r="N14" s="23"/>
      <x:c r="O14" s="23" t="str">
        <x:v>IMPLEMENTATION_MISMATCH</x:v>
      </x:c>
      <x:c r="P14" s="55" t="n">
        <x:v>1</x:v>
      </x:c>
      <x:c r="Q14" s="23"/>
      <x:c r="R14" s="23"/>
      <x:c r="S14" s="58" t="str">
        <x:v>deterministic_judge_verdict=WA | algorithm_critic: Problem specification is empty; no reference algorithm can be reconstructed. The solution process presents a compliant stub with file I/O redirection (assumed road.in/ro</x:v>
      </x:c>
      <x:c r="T14" s="23" t="str">
        <x:v>runs/run_413ygPvc9xnUEt</x:v>
      </x:c>
    </x:row>
    <x:row r="15" ht="25" customHeight="1">
      <x:c r="A15" s="23" t="str">
        <x:v>run_413ygPvc9xnUEt:r001:repair</x:v>
      </x:c>
      <x:c r="B15" s="23" t="str">
        <x:v>run_413ygPvc9xnUEt</x:v>
      </x:c>
      <x:c r="C15" s="23" t="str">
        <x:v>road</x:v>
      </x:c>
      <x:c r="D15" s="23" t="str">
        <x:v>铺设道路</x:v>
      </x:c>
      <x:c r="E15" s="23" t="str">
        <x:v>普及</x:v>
      </x:c>
      <x:c r="F15" s="23" t="str">
        <x:v>repair</x:v>
      </x:c>
      <x:c r="G15" s="23" t="n">
        <x:v>1</x:v>
      </x:c>
      <x:c r="H15" s="23" t="str">
        <x:v>r001</x:v>
      </x:c>
      <x:c r="I15" s="23" t="str">
        <x:v>WA</x:v>
      </x:c>
      <x:c r="J15" s="23" t="n">
        <x:v>0</x:v>
      </x:c>
      <x:c r="K15" s="23" t="n">
        <x:v>10</x:v>
      </x:c>
      <x:c r="L15" s="39" t="b">
        <x:v>0</x:v>
      </x:c>
      <x:c r="M15" s="39" t="b">
        <x:v>1</x:v>
      </x:c>
      <x:c r="N15" s="23"/>
      <x:c r="O15" s="23" t="str">
        <x:v>IMPLEMENTATION_MISMATCH</x:v>
      </x:c>
      <x:c r="P15" s="55" t="n">
        <x:v>1</x:v>
      </x:c>
      <x:c r="Q15" s="39" t="b">
        <x:v>0</x:v>
      </x:c>
      <x:c r="R15" s="23"/>
      <x:c r="S15" s="58" t="str">
        <x:v>deterministic_judge_verdict=WA | algorithm_critic: Reconstructed reference: input token string s length L, output s followed by ceil(L/2) '0' and newline. Steps S1-S6 consistent with this; S1 is I/O setup assumed from ju</x:v>
      </x:c>
      <x:c r="T15" s="23" t="str">
        <x:v>runs/run_413ygPvc9xnUEt</x:v>
      </x:c>
    </x:row>
    <x:row r="16" ht="25" customHeight="1">
      <x:c r="A16" s="23" t="str">
        <x:v>run_413ygPvc9xnUEt:r002:repair</x:v>
      </x:c>
      <x:c r="B16" s="23" t="str">
        <x:v>run_413ygPvc9xnUEt</x:v>
      </x:c>
      <x:c r="C16" s="23" t="str">
        <x:v>road</x:v>
      </x:c>
      <x:c r="D16" s="23" t="str">
        <x:v>铺设道路</x:v>
      </x:c>
      <x:c r="E16" s="23" t="str">
        <x:v>普及</x:v>
      </x:c>
      <x:c r="F16" s="23" t="str">
        <x:v>repair</x:v>
      </x:c>
      <x:c r="G16" s="23" t="n">
        <x:v>2</x:v>
      </x:c>
      <x:c r="H16" s="23" t="str">
        <x:v>r002</x:v>
      </x:c>
      <x:c r="I16" s="23" t="str">
        <x:v>WA</x:v>
      </x:c>
      <x:c r="J16" s="23" t="n">
        <x:v>0</x:v>
      </x:c>
      <x:c r="K16" s="23" t="n">
        <x:v>10</x:v>
      </x:c>
      <x:c r="L16" s="39" t="b">
        <x:v>0</x:v>
      </x:c>
      <x:c r="M16" s="39" t="b">
        <x:v>1</x:v>
      </x:c>
      <x:c r="N16" s="23"/>
      <x:c r="O16" s="23" t="str">
        <x:v>IMPLEMENTATION_MISMATCH</x:v>
      </x:c>
      <x:c r="P16" s="55" t="n">
        <x:v>1</x:v>
      </x:c>
      <x:c r="Q16" s="39" t="b">
        <x:v>0</x:v>
      </x:c>
      <x:c r="R16" s="23"/>
      <x:c r="S16" s="58" t="str">
        <x:v>deterministic_judge_verdict=WA | algorithm_critic: Problem specification is empty; no authoritative reference algorithm can be reconstructed. The provided solution process infers from judge WA evidence (actual output fir</x:v>
      </x:c>
      <x:c r="T16" s="23" t="str">
        <x:v>runs/run_413ygPvc9xnUEt</x:v>
      </x:c>
    </x:row>
    <x:row r="17" ht="25" customHeight="1">
      <x:c r="A17" s="23" t="str">
        <x:v>run_TwEVIQPrlAjRkBQy:r000:initial</x:v>
      </x:c>
      <x:c r="B17" s="23" t="str">
        <x:v>run_TwEVIQPrlAjRkBQy</x:v>
      </x:c>
      <x:c r="C17" s="23" t="str">
        <x:v>road</x:v>
      </x:c>
      <x:c r="D17" s="23" t="str">
        <x:v>铺设道路</x:v>
      </x:c>
      <x:c r="E17" s="23" t="str">
        <x:v>普及</x:v>
      </x:c>
      <x:c r="F17" s="23" t="str">
        <x:v>initial</x:v>
      </x:c>
      <x:c r="G17" s="23" t="n">
        <x:v>0</x:v>
      </x:c>
      <x:c r="H17" s="23" t="str">
        <x:v>r000</x:v>
      </x:c>
      <x:c r="I17" s="23" t="str">
        <x:v>WA</x:v>
      </x:c>
      <x:c r="J17" s="23" t="n">
        <x:v>0</x:v>
      </x:c>
      <x:c r="K17" s="23" t="n">
        <x:v>10</x:v>
      </x:c>
      <x:c r="L17" s="39" t="b">
        <x:v>0</x:v>
      </x:c>
      <x:c r="M17" s="39" t="b">
        <x:v>1</x:v>
      </x:c>
      <x:c r="N17" s="23"/>
      <x:c r="O17" s="23" t="str">
        <x:v>IMPLEMENTATION_MISMATCH</x:v>
      </x:c>
      <x:c r="P17" s="55" t="n">
        <x:v>1</x:v>
      </x:c>
      <x:c r="Q17" s="23"/>
      <x:c r="R17" s="23"/>
      <x:c r="S17" s="58" t="str">
        <x:v>deterministic_judge_verdict=WA | algorithm_critic: Empty problem specification; solution process outlines a minimal compliant C++ skeleton with file redirection. All steps are logically supported by the solution's own as</x:v>
      </x:c>
      <x:c r="T17" s="23" t="str">
        <x:v>runs/run_TwEVIQPrlAjRkBQy</x:v>
      </x:c>
    </x:row>
    <x:row r="18" ht="25" customHeight="1">
      <x:c r="A18" s="23" t="str">
        <x:v>run_TwEVIQPrlAjRkBQy:r001:repair</x:v>
      </x:c>
      <x:c r="B18" s="23" t="str">
        <x:v>run_TwEVIQPrlAjRkBQy</x:v>
      </x:c>
      <x:c r="C18" s="23" t="str">
        <x:v>road</x:v>
      </x:c>
      <x:c r="D18" s="23" t="str">
        <x:v>铺设道路</x:v>
      </x:c>
      <x:c r="E18" s="23" t="str">
        <x:v>普及</x:v>
      </x:c>
      <x:c r="F18" s="23" t="str">
        <x:v>repair</x:v>
      </x:c>
      <x:c r="G18" s="23" t="n">
        <x:v>1</x:v>
      </x:c>
      <x:c r="H18" s="23" t="str">
        <x:v>r001</x:v>
      </x:c>
      <x:c r="I18" s="23" t="str">
        <x:v>WA</x:v>
      </x:c>
      <x:c r="J18" s="23" t="n">
        <x:v>0</x:v>
      </x:c>
      <x:c r="K18" s="23" t="n">
        <x:v>10</x:v>
      </x:c>
      <x:c r="L18" s="39" t="b">
        <x:v>0</x:v>
      </x:c>
      <x:c r="M18" s="39" t="b">
        <x:v>1</x:v>
      </x:c>
      <x:c r="N18" s="23"/>
      <x:c r="O18" s="23" t="str">
        <x:v>IMPLEMENTATION_MISMATCH</x:v>
      </x:c>
      <x:c r="P18" s="55" t="n">
        <x:v>1</x:v>
      </x:c>
      <x:c r="Q18" s="39" t="b">
        <x:v>0</x:v>
      </x:c>
      <x:c r="R18" s="23"/>
      <x:c r="S18" s="58" t="str">
        <x:v>deterministic_judge_verdict=WA | algorithm_critic: Reference algorithm cannot be reconstructed because problem specification is empty. Provided steps implement a minimal I/O echo stub with mandatory freopen calls as clai</x:v>
      </x:c>
      <x:c r="T18" s="23" t="str">
        <x:v>runs/run_TwEVIQPrlAjRkBQy</x:v>
      </x:c>
    </x:row>
    <x:row r="19" ht="25" customHeight="1">
      <x:c r="A19" s="23" t="str">
        <x:v>run_TwEVIQPrlAjRkBQy:r002:repair</x:v>
      </x:c>
      <x:c r="B19" s="23" t="str">
        <x:v>run_TwEVIQPrlAjRkBQy</x:v>
      </x:c>
      <x:c r="C19" s="23" t="str">
        <x:v>road</x:v>
      </x:c>
      <x:c r="D19" s="23" t="str">
        <x:v>铺设道路</x:v>
      </x:c>
      <x:c r="E19" s="23" t="str">
        <x:v>普及</x:v>
      </x:c>
      <x:c r="F19" s="23" t="str">
        <x:v>repair</x:v>
      </x:c>
      <x:c r="G19" s="23" t="n">
        <x:v>2</x:v>
      </x:c>
      <x:c r="H19" s="23" t="str">
        <x:v>r002</x:v>
      </x:c>
      <x:c r="I19" s="23" t="str">
        <x:v>WA</x:v>
      </x:c>
      <x:c r="J19" s="23" t="n">
        <x:v>0</x:v>
      </x:c>
      <x:c r="K19" s="23" t="n">
        <x:v>10</x:v>
      </x:c>
      <x:c r="L19" s="39" t="b">
        <x:v>0</x:v>
      </x:c>
      <x:c r="M19" s="39" t="b">
        <x:v>1</x:v>
      </x:c>
      <x:c r="N19" s="23"/>
      <x:c r="O19" s="23" t="str">
        <x:v>IMPLEMENTATION_MISMATCH</x:v>
      </x:c>
      <x:c r="P19" s="55" t="n">
        <x:v>1</x:v>
      </x:c>
      <x:c r="Q19" s="39" t="b">
        <x:v>0</x:v>
      </x:c>
      <x:c r="R19" s="23"/>
      <x:c r="S19" s="58" t="str">
        <x:v>deterministic_judge_verdict=WA | algorithm_critic: Reference algorithm cannot be reconstructed because problem specification is empty. The solution process speculatively assumes an integer-echo task with mandatory freope</x:v>
      </x:c>
      <x:c r="T19" s="23" t="str">
        <x:v>runs/run_TwEVIQPrlAjRkBQy</x:v>
      </x:c>
    </x:row>
    <x:row r="20" ht="25" customHeight="1">
      <x:c r="A20" s="23" t="str">
        <x:v>run_4e0W5orayvxmk5T:r000:initial</x:v>
      </x:c>
      <x:c r="B20" s="23" t="str">
        <x:v>run_4e0W5orayvxmk5T</x:v>
      </x:c>
      <x:c r="C20" s="23" t="str">
        <x:v>travel</x:v>
      </x:c>
      <x:c r="D20" s="23" t="str">
        <x:v>旅行</x:v>
      </x:c>
      <x:c r="E20" s="23" t="str">
        <x:v>提高</x:v>
      </x:c>
      <x:c r="F20" s="23" t="str">
        <x:v>initial</x:v>
      </x:c>
      <x:c r="G20" s="23" t="n">
        <x:v>0</x:v>
      </x:c>
      <x:c r="H20" s="23" t="str">
        <x:v>r000</x:v>
      </x:c>
      <x:c r="I20" s="23" t="str">
        <x:v>WA</x:v>
      </x:c>
      <x:c r="J20" s="23" t="n">
        <x:v>0</x:v>
      </x:c>
      <x:c r="K20" s="23" t="n">
        <x:v>25</x:v>
      </x:c>
      <x:c r="L20" s="39" t="b">
        <x:v>0</x:v>
      </x:c>
      <x:c r="M20" s="39" t="b">
        <x:v>1</x:v>
      </x:c>
      <x:c r="N20" s="23"/>
      <x:c r="O20" s="23" t="str">
        <x:v>IMPLEMENTATION_MISMATCH</x:v>
      </x:c>
      <x:c r="P20" s="55" t="n">
        <x:v>1</x:v>
      </x:c>
      <x:c r="Q20" s="23"/>
      <x:c r="R20" s="23"/>
      <x:c r="S20" s="58" t="str">
        <x:v>deterministic_judge_verdict=WA | algorithm_critic: Reference algorithm reconstructible only as I/O compliance stub because problem spec is empty. S1 correctly satisfies mandatory travel.in/travel.out redirection. S2 and </x:v>
      </x:c>
      <x:c r="T20" s="23" t="str">
        <x:v>runs/run_4e0W5orayvxmk5T</x:v>
      </x:c>
    </x:row>
    <x:row r="21" ht="25" customHeight="1">
      <x:c r="A21" s="23" t="str">
        <x:v>run_rVw9lQjtzswivzbX:r000:initial</x:v>
      </x:c>
      <x:c r="B21" s="23" t="str">
        <x:v>run_rVw9lQjtzswivzbX</x:v>
      </x:c>
      <x:c r="C21" s="23" t="str">
        <x:v>money</x:v>
      </x:c>
      <x:c r="D21" s="23" t="str">
        <x:v>货币系统</x:v>
      </x:c>
      <x:c r="E21" s="23" t="str">
        <x:v>普及+/提高−</x:v>
      </x:c>
      <x:c r="F21" s="23" t="str">
        <x:v>initial</x:v>
      </x:c>
      <x:c r="G21" s="23" t="n">
        <x:v>0</x:v>
      </x:c>
      <x:c r="H21" s="23" t="str">
        <x:v>r000</x:v>
      </x:c>
      <x:c r="I21" s="23" t="str">
        <x:v>AC</x:v>
      </x:c>
      <x:c r="J21" s="23" t="n">
        <x:v>20</x:v>
      </x:c>
      <x:c r="K21" s="23" t="n">
        <x:v>20</x:v>
      </x:c>
      <x:c r="L21" s="39" t="b">
        <x:v>1</x:v>
      </x:c>
      <x:c r="M21" s="39" t="b">
        <x:v>1</x:v>
      </x:c>
      <x:c r="N21" s="23"/>
      <x:c r="O21" s="23" t="str">
        <x:v>UNRESOLVED</x:v>
      </x:c>
      <x:c r="P21" s="55" t="n">
        <x:v>0.9</x:v>
      </x:c>
      <x:c r="Q21" s="23"/>
      <x:c r="R21" s="23"/>
      <x:c r="S21" s="58" t="str">
        <x:v>algorithm_critic: Reconstructed reference algorithm: per test case, sort denominations, maintain DP array for representability by current basis; for each value, if already representable skip (redundant) else increment co</x:v>
      </x:c>
      <x:c r="T21" s="23" t="str">
        <x:v>runs/run_rVw9lQjtzswivzbX</x:v>
      </x:c>
    </x:row>
    <x:row r="22" ht="25" customHeight="1">
      <x:c r="A22" s="23" t="str">
        <x:v>run_ffx8PecwizZ6jj:r000:initial</x:v>
      </x:c>
      <x:c r="B22" s="23" t="str">
        <x:v>run_ffx8PecwizZ6jj</x:v>
      </x:c>
      <x:c r="C22" s="23" t="str">
        <x:v>road</x:v>
      </x:c>
      <x:c r="D22" s="23" t="str">
        <x:v>铺设道路</x:v>
      </x:c>
      <x:c r="E22" s="23" t="str">
        <x:v>普及</x:v>
      </x:c>
      <x:c r="F22" s="23" t="str">
        <x:v>initial</x:v>
      </x:c>
      <x:c r="G22" s="23" t="n">
        <x:v>0</x:v>
      </x:c>
      <x:c r="H22" s="23" t="str">
        <x:v>r000</x:v>
      </x:c>
      <x:c r="I22" s="23" t="str">
        <x:v>AC</x:v>
      </x:c>
      <x:c r="J22" s="23" t="n">
        <x:v>10</x:v>
      </x:c>
      <x:c r="K22" s="23" t="n">
        <x:v>10</x:v>
      </x:c>
      <x:c r="L22" s="39" t="b">
        <x:v>1</x:v>
      </x:c>
      <x:c r="M22" s="39" t="b">
        <x:v>1</x:v>
      </x:c>
      <x:c r="N22" s="23"/>
      <x:c r="O22" s="23" t="str">
        <x:v>UNRESOLVED</x:v>
      </x:c>
      <x:c r="P22" s="55" t="n">
        <x:v>0.9</x:v>
      </x:c>
      <x:c r="Q22" s="23"/>
      <x:c r="R22" s="23"/>
      <x:c r="S22" s="58" t="str">
        <x:v>algorithm_critic: Reference algorithm reconstructed: minimum days = sum_{i=1..n} max(0, d_i - d_{i-1}) with d_0=0, computable in O(n) time, O(1) space. Steps S1-S4 correctly derive, prove achievability, design linear alg</x:v>
      </x:c>
      <x:c r="T22" s="23" t="str">
        <x:v>runs/run_ffx8PecwizZ6jj</x:v>
      </x:c>
    </x:row>
    <x:row r="23" ht="25" customHeight="1">
      <x:c r="A23" s="23" t="str">
        <x:v>run_7mzIXPTwnDCZFIun:r000:initial</x:v>
      </x:c>
      <x:c r="B23" s="23" t="str">
        <x:v>run_7mzIXPTwnDCZFIun</x:v>
      </x:c>
      <x:c r="C23" s="23" t="str">
        <x:v>game</x:v>
      </x:c>
      <x:c r="D23" s="23" t="str">
        <x:v>填数游戏</x:v>
      </x:c>
      <x:c r="E23" s="23" t="str">
        <x:v>NOI/NOI+/CTS</x:v>
      </x:c>
      <x:c r="F23" s="23" t="str">
        <x:v>initial</x:v>
      </x:c>
      <x:c r="G23" s="23" t="n">
        <x:v>0</x:v>
      </x:c>
      <x:c r="H23" s="23" t="str">
        <x:v>r000</x:v>
      </x:c>
      <x:c r="I23" s="23" t="str">
        <x:v>WA</x:v>
      </x:c>
      <x:c r="J23" s="23" t="n">
        <x:v>0</x:v>
      </x:c>
      <x:c r="K23" s="23" t="n">
        <x:v>20</x:v>
      </x:c>
      <x:c r="L23" s="39" t="b">
        <x:v>0</x:v>
      </x:c>
      <x:c r="M23" s="39" t="b">
        <x:v>1</x:v>
      </x:c>
      <x:c r="N23" s="23"/>
      <x:c r="O23" s="23" t="str">
        <x:v>IMPLEMENTATION_MISMATCH</x:v>
      </x:c>
      <x:c r="P23" s="55" t="n">
        <x:v>1</x:v>
      </x:c>
      <x:c r="Q23" s="23"/>
      <x:c r="R23" s="23"/>
      <x:c r="S23" s="58" t="str">
        <x:v>deterministic_judge_verdict=WA | algorithm_critic: Reconstructed reference algorithm impossible due to empty spec; provided placeholder identity I/O is internally consistent but S3 falsely asserts mandatory freopen conte</x:v>
      </x:c>
      <x:c r="T23" s="23" t="str">
        <x:v>runs/run_7mzIXPTwnDCZFIun</x:v>
      </x:c>
    </x:row>
    <x:row r="24" ht="25" customHeight="1">
      <x:c r="A24" s="23" t="str">
        <x:v>run_7mzIXPTwnDCZFIun:r001:repair</x:v>
      </x:c>
      <x:c r="B24" s="23" t="str">
        <x:v>run_7mzIXPTwnDCZFIun</x:v>
      </x:c>
      <x:c r="C24" s="23" t="str">
        <x:v>game</x:v>
      </x:c>
      <x:c r="D24" s="23" t="str">
        <x:v>填数游戏</x:v>
      </x:c>
      <x:c r="E24" s="23" t="str">
        <x:v>NOI/NOI+/CTS</x:v>
      </x:c>
      <x:c r="F24" s="23" t="str">
        <x:v>repair</x:v>
      </x:c>
      <x:c r="G24" s="23" t="n">
        <x:v>1</x:v>
      </x:c>
      <x:c r="H24" s="23" t="str">
        <x:v>r001</x:v>
      </x:c>
      <x:c r="I24" s="23" t="str">
        <x:v>WA</x:v>
      </x:c>
      <x:c r="J24" s="23" t="n">
        <x:v>0</x:v>
      </x:c>
      <x:c r="K24" s="23" t="n">
        <x:v>20</x:v>
      </x:c>
      <x:c r="L24" s="39" t="b">
        <x:v>0</x:v>
      </x:c>
      <x:c r="M24" s="39" t="b">
        <x:v>1</x:v>
      </x:c>
      <x:c r="N24" s="23"/>
      <x:c r="O24" s="23" t="str">
        <x:v>IMPLEMENTATION_MISMATCH</x:v>
      </x:c>
      <x:c r="P24" s="55" t="n">
        <x:v>1</x:v>
      </x:c>
      <x:c r="Q24" s="39" t="b">
        <x:v>0</x:v>
      </x:c>
      <x:c r="R24" s="23"/>
      <x:c r="S24" s="58" t="str">
        <x:v>deterministic_judge_verdict=WA | algorithm_critic: Problem specification is empty; solution provides a defensive placeholder that redirects I/O (claimed system mandate), reads an optional long long, and echoes it. Steps </x:v>
      </x:c>
      <x:c r="T24" s="23" t="str">
        <x:v>runs/run_7mzIXPTwnDCZFIun</x:v>
      </x:c>
    </x:row>
    <x:row r="25" ht="25" customHeight="1">
      <x:c r="A25" s="23" t="str">
        <x:v>run_7mzIXPTwnDCZFIun:r002:repair</x:v>
      </x:c>
      <x:c r="B25" s="23" t="str">
        <x:v>run_7mzIXPTwnDCZFIun</x:v>
      </x:c>
      <x:c r="C25" s="23" t="str">
        <x:v>game</x:v>
      </x:c>
      <x:c r="D25" s="23" t="str">
        <x:v>填数游戏</x:v>
      </x:c>
      <x:c r="E25" s="23" t="str">
        <x:v>NOI/NOI+/CTS</x:v>
      </x:c>
      <x:c r="F25" s="23" t="str">
        <x:v>repair</x:v>
      </x:c>
      <x:c r="G25" s="23" t="n">
        <x:v>2</x:v>
      </x:c>
      <x:c r="H25" s="23" t="str">
        <x:v>r002</x:v>
      </x:c>
      <x:c r="I25" s="23" t="str">
        <x:v>WA</x:v>
      </x:c>
      <x:c r="J25" s="23" t="n">
        <x:v>0</x:v>
      </x:c>
      <x:c r="K25" s="23" t="n">
        <x:v>20</x:v>
      </x:c>
      <x:c r="L25" s="39" t="b">
        <x:v>0</x:v>
      </x:c>
      <x:c r="M25" s="39" t="b">
        <x:v>1</x:v>
      </x:c>
      <x:c r="N25" s="23"/>
      <x:c r="O25" s="23" t="str">
        <x:v>IMPLEMENTATION_MISMATCH</x:v>
      </x:c>
      <x:c r="P25" s="55" t="n">
        <x:v>1</x:v>
      </x:c>
      <x:c r="Q25" s="39" t="b">
        <x:v>0</x:v>
      </x:c>
      <x:c r="R25" s="23"/>
      <x:c r="S25" s="58" t="str">
        <x:v>deterministic_judge_verdict=WA | algorithm_critic: Reconstructed reference algorithm from empty spec + judge diffs: read integer N from game.in via freopen, then read N integers, compute sum into 64-bit integer, write su</x:v>
      </x:c>
      <x:c r="T25" s="23" t="str">
        <x:v>runs/run_7mzIXPTwnDCZFIun</x:v>
      </x:c>
    </x:row>
    <x:row r="26" ht="25" customHeight="1">
      <x:c r="A26" s="23" t="str">
        <x:v>run_GhNlla9EufyLoSiK:r000:initial</x:v>
      </x:c>
      <x:c r="B26" s="23" t="str">
        <x:v>run_GhNlla9EufyLoSiK</x:v>
      </x:c>
      <x:c r="C26" s="23" t="str">
        <x:v>travel</x:v>
      </x:c>
      <x:c r="D26" s="23" t="str">
        <x:v>旅行</x:v>
      </x:c>
      <x:c r="E26" s="23" t="str">
        <x:v>提高</x:v>
      </x:c>
      <x:c r="F26" s="23" t="str">
        <x:v>initial</x:v>
      </x:c>
      <x:c r="G26" s="23" t="n">
        <x:v>0</x:v>
      </x:c>
      <x:c r="H26" s="23" t="str">
        <x:v>r000</x:v>
      </x:c>
      <x:c r="I26" s="23" t="str">
        <x:v>WA</x:v>
      </x:c>
      <x:c r="J26" s="23" t="n">
        <x:v>0</x:v>
      </x:c>
      <x:c r="K26" s="23" t="n">
        <x:v>25</x:v>
      </x:c>
      <x:c r="L26" s="39" t="b">
        <x:v>0</x:v>
      </x:c>
      <x:c r="M26" s="39" t="b">
        <x:v>1</x:v>
      </x:c>
      <x:c r="N26" s="23"/>
      <x:c r="O26" s="23" t="str">
        <x:v>IMPLEMENTATION_MISMATCH</x:v>
      </x:c>
      <x:c r="P26" s="55" t="n">
        <x:v>1</x:v>
      </x:c>
      <x:c r="Q26" s="23"/>
      <x:c r="R26" s="23"/>
      <x:c r="S26" s="58" t="str">
        <x:v>deterministic_judge_verdict=WA | algorithm_critic: Reference algorithm cannot be reconstructed due to empty problem spec. Step S1 falsely asserts an explicit mandatory I/O redirection requirement, which is a hallucinated</x:v>
      </x:c>
      <x:c r="T26" s="23" t="str">
        <x:v>runs/run_GhNlla9EufyLoSiK</x:v>
      </x:c>
    </x:row>
    <x:row r="27" ht="25" customHeight="1">
      <x:c r="A27" s="23" t="str">
        <x:v>run_y5mJ6wy2DtSyNItl:r000:initial</x:v>
      </x:c>
      <x:c r="B27" s="23" t="str">
        <x:v>run_y5mJ6wy2DtSyNItl</x:v>
      </x:c>
      <x:c r="C27" s="23" t="str">
        <x:v>road</x:v>
      </x:c>
      <x:c r="D27" s="23" t="str">
        <x:v>铺设道路</x:v>
      </x:c>
      <x:c r="E27" s="23" t="str">
        <x:v>普及</x:v>
      </x:c>
      <x:c r="F27" s="23" t="str">
        <x:v>initial</x:v>
      </x:c>
      <x:c r="G27" s="23" t="n">
        <x:v>0</x:v>
      </x:c>
      <x:c r="H27" s="23" t="str">
        <x:v>r000</x:v>
      </x:c>
      <x:c r="I27" s="23" t="str">
        <x:v>AC</x:v>
      </x:c>
      <x:c r="J27" s="23" t="n">
        <x:v>10</x:v>
      </x:c>
      <x:c r="K27" s="23" t="n">
        <x:v>10</x:v>
      </x:c>
      <x:c r="L27" s="39" t="b">
        <x:v>1</x:v>
      </x:c>
      <x:c r="M27" s="39" t="b">
        <x:v>1</x:v>
      </x:c>
      <x:c r="N27" s="23"/>
      <x:c r="O27" s="23" t="str">
        <x:v>UNRESOLVED</x:v>
      </x:c>
      <x:c r="P27" s="55" t="n">
        <x:v>0.9</x:v>
      </x:c>
      <x:c r="Q27" s="23"/>
      <x:c r="R27" s="23"/>
      <x:c r="S27" s="58" t="str">
        <x:v>algorithm_critic: Independently reconstructed reference algorithm: answer = d[0] + sum_{i=1}^{n-1} max(0, d[i]-d[i-1]) (0-indexed). The provided steps S0-S6 correctly implement this O(n) time, O(1) extra space greedy dif</x:v>
      </x:c>
      <x:c r="T27" s="23" t="str">
        <x:v>runs/run_y5mJ6wy2DtSyNItl</x:v>
      </x:c>
    </x:row>
    <x:row r="28" ht="25" customHeight="1">
      <x:c r="A28" s="23" t="str">
        <x:v>run_vw5MWZ95syzaalPD:r000:initial</x:v>
      </x:c>
      <x:c r="B28" s="23" t="str">
        <x:v>run_vw5MWZ95syzaalPD</x:v>
      </x:c>
      <x:c r="C28" s="23" t="str">
        <x:v>game</x:v>
      </x:c>
      <x:c r="D28" s="23" t="str">
        <x:v>填数游戏</x:v>
      </x:c>
      <x:c r="E28" s="23" t="str">
        <x:v>NOI/NOI+/CTS</x:v>
      </x:c>
      <x:c r="F28" s="23" t="str">
        <x:v>initial</x:v>
      </x:c>
      <x:c r="G28" s="23" t="n">
        <x:v>0</x:v>
      </x:c>
      <x:c r="H28" s="23" t="str">
        <x:v>r000</x:v>
      </x:c>
      <x:c r="I28" s="23" t="str">
        <x:v>WA</x:v>
      </x:c>
      <x:c r="J28" s="23" t="n">
        <x:v>0</x:v>
      </x:c>
      <x:c r="K28" s="23" t="n">
        <x:v>20</x:v>
      </x:c>
      <x:c r="L28" s="39" t="b">
        <x:v>0</x:v>
      </x:c>
      <x:c r="M28" s="39" t="b">
        <x:v>1</x:v>
      </x:c>
      <x:c r="N28" s="23"/>
      <x:c r="O28" s="23" t="str">
        <x:v>IMPLEMENTATION_MISMATCH</x:v>
      </x:c>
      <x:c r="P28" s="55" t="n">
        <x:v>1</x:v>
      </x:c>
      <x:c r="Q28" s="23"/>
      <x:c r="R28" s="23"/>
      <x:c r="S28" s="58" t="str">
        <x:v>deterministic_judge_verdict=WA | algorithm_critic: Empty problem spec prevents reconstruction of reference algorithm. Solution steps form a coherent placeholder template with file redirection, integer read loop, and outp</x:v>
      </x:c>
      <x:c r="T28" s="23" t="str">
        <x:v>runs/run_vw5MWZ95syzaalPD</x:v>
      </x:c>
    </x:row>
    <x:row r="29" ht="25" customHeight="1">
      <x:c r="A29" s="23" t="str">
        <x:v>run_vw5MWZ95syzaalPD:r001:repair</x:v>
      </x:c>
      <x:c r="B29" s="23" t="str">
        <x:v>run_vw5MWZ95syzaalPD</x:v>
      </x:c>
      <x:c r="C29" s="23" t="str">
        <x:v>game</x:v>
      </x:c>
      <x:c r="D29" s="23" t="str">
        <x:v>填数游戏</x:v>
      </x:c>
      <x:c r="E29" s="23" t="str">
        <x:v>NOI/NOI+/CTS</x:v>
      </x:c>
      <x:c r="F29" s="23" t="str">
        <x:v>repair</x:v>
      </x:c>
      <x:c r="G29" s="23" t="n">
        <x:v>1</x:v>
      </x:c>
      <x:c r="H29" s="23" t="str">
        <x:v>r001</x:v>
      </x:c>
      <x:c r="I29" s="23" t="str">
        <x:v>WA</x:v>
      </x:c>
      <x:c r="J29" s="23" t="n">
        <x:v>0</x:v>
      </x:c>
      <x:c r="K29" s="23" t="n">
        <x:v>20</x:v>
      </x:c>
      <x:c r="L29" s="39" t="b">
        <x:v>0</x:v>
      </x:c>
      <x:c r="M29" s="39" t="b">
        <x:v>1</x:v>
      </x:c>
      <x:c r="N29" s="23"/>
      <x:c r="O29" s="23" t="str">
        <x:v>IMPLEMENTATION_MISMATCH</x:v>
      </x:c>
      <x:c r="P29" s="55" t="n">
        <x:v>1</x:v>
      </x:c>
      <x:c r="Q29" s="39" t="b">
        <x:v>0</x:v>
      </x:c>
      <x:c r="R29" s="23"/>
      <x:c r="S29" s="58" t="str">
        <x:v>deterministic_judge_verdict=WA | algorithm_critic: Problem specification is empty; no reference algorithm can be independently reconstructed from stated requirements. The solution process assumes a minimal file-I/O templ</x:v>
      </x:c>
      <x:c r="T29" s="23" t="str">
        <x:v>runs/run_vw5MWZ95syzaalPD</x:v>
      </x:c>
    </x:row>
    <x:row r="30" ht="25" customHeight="1">
      <x:c r="A30" s="23" t="str">
        <x:v>run_vw5MWZ95syzaalPD:r002:repair</x:v>
      </x:c>
      <x:c r="B30" s="23" t="str">
        <x:v>run_vw5MWZ95syzaalPD</x:v>
      </x:c>
      <x:c r="C30" s="23" t="str">
        <x:v>game</x:v>
      </x:c>
      <x:c r="D30" s="23" t="str">
        <x:v>填数游戏</x:v>
      </x:c>
      <x:c r="E30" s="23" t="str">
        <x:v>NOI/NOI+/CTS</x:v>
      </x:c>
      <x:c r="F30" s="23" t="str">
        <x:v>repair</x:v>
      </x:c>
      <x:c r="G30" s="23" t="n">
        <x:v>2</x:v>
      </x:c>
      <x:c r="H30" s="23" t="str">
        <x:v>r002</x:v>
      </x:c>
      <x:c r="I30" s="23" t="str">
        <x:v>WA</x:v>
      </x:c>
      <x:c r="J30" s="23" t="n">
        <x:v>0</x:v>
      </x:c>
      <x:c r="K30" s="23" t="n">
        <x:v>20</x:v>
      </x:c>
      <x:c r="L30" s="39" t="b">
        <x:v>0</x:v>
      </x:c>
      <x:c r="M30" s="39" t="b">
        <x:v>1</x:v>
      </x:c>
      <x:c r="N30" s="23"/>
      <x:c r="O30" s="23" t="str">
        <x:v>IMPLEMENTATION_MISMATCH</x:v>
      </x:c>
      <x:c r="P30" s="55" t="n">
        <x:v>1</x:v>
      </x:c>
      <x:c r="Q30" s="39" t="b">
        <x:v>0</x:v>
      </x:c>
      <x:c r="R30" s="23"/>
      <x:c r="S30" s="58" t="str">
        <x:v>deterministic_judge_verdict=WA | algorithm_critic: Problem specification is empty; no reference algorithm can be reconstructed. The solution steps assume judge file I/O and exactly two integer inputs with sum output, non</x:v>
      </x:c>
      <x:c r="T30" s="23" t="str">
        <x:v>runs/run_vw5MWZ95syzaalPD</x:v>
      </x:c>
    </x:row>
    <x:row r="31" ht="25" customHeight="1">
      <x:c r="A31" s="23" t="str">
        <x:v>run_UwgnmhO47m53w6DY:r000:initial</x:v>
      </x:c>
      <x:c r="B31" s="23" t="str">
        <x:v>run_UwgnmhO47m53w6DY</x:v>
      </x:c>
      <x:c r="C31" s="23" t="str">
        <x:v>travel</x:v>
      </x:c>
      <x:c r="D31" s="23" t="str">
        <x:v>旅行</x:v>
      </x:c>
      <x:c r="E31" s="23" t="str">
        <x:v>提高</x:v>
      </x:c>
      <x:c r="F31" s="23" t="str">
        <x:v>initial</x:v>
      </x:c>
      <x:c r="G31" s="23" t="n">
        <x:v>0</x:v>
      </x:c>
      <x:c r="H31" s="23" t="str">
        <x:v>r000</x:v>
      </x:c>
      <x:c r="I31" s="23" t="str">
        <x:v>AC</x:v>
      </x:c>
      <x:c r="J31" s="23" t="n">
        <x:v>25</x:v>
      </x:c>
      <x:c r="K31" s="23" t="n">
        <x:v>25</x:v>
      </x:c>
      <x:c r="L31" s="39" t="b">
        <x:v>1</x:v>
      </x:c>
      <x:c r="M31" s="39" t="b">
        <x:v>1</x:v>
      </x:c>
      <x:c r="N31" s="23"/>
      <x:c r="O31" s="23" t="str">
        <x:v>UNRESOLVED</x:v>
      </x:c>
      <x:c r="P31" s="55" t="n">
        <x:v>0.9</x:v>
      </x:c>
      <x:c r="Q31" s="23"/>
      <x:c r="R31" s="23"/>
      <x:c r="S31" s="58" t="str">
        <x:v>algorithm_critic: Reconstructed reference algorithm: if m=n-1 (tree) run greedy DFS from 1 visiting smallest neighbor first; if m=n (unicyclic) locate cycle, for each cycle edge remove it and run the same greedy DFS, kee</x:v>
      </x:c>
      <x:c r="T31" s="23" t="str">
        <x:v>runs/run_UwgnmhO47m53w6DY</x:v>
      </x:c>
    </x:row>
    <x:row r="32" ht="25" customHeight="1">
      <x:c r="A32" s="23" t="str">
        <x:v>run_nPPFL5vXxjog7GZ8:r000:initial</x:v>
      </x:c>
      <x:c r="B32" s="23" t="str">
        <x:v>run_nPPFL5vXxjog7GZ8</x:v>
      </x:c>
      <x:c r="C32" s="23" t="str">
        <x:v>track</x:v>
      </x:c>
      <x:c r="D32" s="23" t="str">
        <x:v>赛道修建</x:v>
      </x:c>
      <x:c r="E32" s="23" t="str">
        <x:v>提高</x:v>
      </x:c>
      <x:c r="F32" s="23" t="str">
        <x:v>initial</x:v>
      </x:c>
      <x:c r="G32" s="23" t="n">
        <x:v>0</x:v>
      </x:c>
      <x:c r="H32" s="23" t="str">
        <x:v>r000</x:v>
      </x:c>
      <x:c r="I32" s="23" t="str">
        <x:v>WA</x:v>
      </x:c>
      <x:c r="J32" s="23" t="n">
        <x:v>12</x:v>
      </x:c>
      <x:c r="K32" s="23" t="n">
        <x:v>20</x:v>
      </x:c>
      <x:c r="L32" s="39" t="b">
        <x:v>0</x:v>
      </x:c>
      <x:c r="M32" s="39" t="b">
        <x:v>1</x:v>
      </x:c>
      <x:c r="N32" s="23"/>
      <x:c r="O32" s="23" t="str">
        <x:v>IMPLEMENTATION_MISMATCH</x:v>
      </x:c>
      <x:c r="P32" s="55" t="n">
        <x:v>1</x:v>
      </x:c>
      <x:c r="Q32" s="23"/>
      <x:c r="R32" s="23"/>
      <x:c r="S32" s="58" t="str">
        <x:v>deterministic_judge_verdict=WA | algorithm_critic: The provided solution process correctly reconstructs the known optimal algorithm for NOIP2018 track: binary search on answer with greedy tree DP that counts maximum edge</x:v>
      </x:c>
      <x:c r="T32" s="23" t="str">
        <x:v>runs/run_nPPFL5vXxjog7GZ8</x:v>
      </x:c>
    </x:row>
    <x:row r="33" ht="25" customHeight="1">
      <x:c r="A33" s="23" t="str">
        <x:v>run_nPPFL5vXxjog7GZ8:r002:repair</x:v>
      </x:c>
      <x:c r="B33" s="23" t="str">
        <x:v>run_nPPFL5vXxjog7GZ8</x:v>
      </x:c>
      <x:c r="C33" s="23" t="str">
        <x:v>track</x:v>
      </x:c>
      <x:c r="D33" s="23" t="str">
        <x:v>赛道修建</x:v>
      </x:c>
      <x:c r="E33" s="23" t="str">
        <x:v>提高</x:v>
      </x:c>
      <x:c r="F33" s="23" t="str">
        <x:v>repair</x:v>
      </x:c>
      <x:c r="G33" s="23" t="n">
        <x:v>1</x:v>
      </x:c>
      <x:c r="H33" s="23" t="str">
        <x:v>r002</x:v>
      </x:c>
      <x:c r="I33" s="23" t="str">
        <x:v>WA</x:v>
      </x:c>
      <x:c r="J33" s="23" t="n">
        <x:v>16</x:v>
      </x:c>
      <x:c r="K33" s="23" t="n">
        <x:v>20</x:v>
      </x:c>
      <x:c r="L33" s="39" t="b">
        <x:v>0</x:v>
      </x:c>
      <x:c r="M33" s="39" t="b">
        <x:v>1</x:v>
      </x:c>
      <x:c r="N33" s="23"/>
      <x:c r="O33" s="23" t="str">
        <x:v>IMPLEMENTATION_MISMATCH</x:v>
      </x:c>
      <x:c r="P33" s="55" t="n">
        <x:v>1</x:v>
      </x:c>
      <x:c r="Q33" s="39" t="b">
        <x:v>1</x:v>
      </x:c>
      <x:c r="R33" s="23"/>
      <x:c r="S33" s="58" t="str">
        <x:v>deterministic_judge_verdict=WA | algorithm_critic: Reference algorithm correctly reconstructed: binary search on answer L with tree DP greedy chain pairing. All provided steps S1-S7 are supported, proof obligations hold,</x:v>
      </x:c>
      <x:c r="T33" s="23" t="str">
        <x:v>runs/run_nPPFL5vXxjog7GZ8</x:v>
      </x:c>
    </x:row>
    <x:row r="34" ht="25" customHeight="1">
      <x:c r="A34" s="23" t="str">
        <x:v>run_nPPFL5vXxjog7GZ8:r003:repair</x:v>
      </x:c>
      <x:c r="B34" s="23" t="str">
        <x:v>run_nPPFL5vXxjog7GZ8</x:v>
      </x:c>
      <x:c r="C34" s="23" t="str">
        <x:v>track</x:v>
      </x:c>
      <x:c r="D34" s="23" t="str">
        <x:v>赛道修建</x:v>
      </x:c>
      <x:c r="E34" s="23" t="str">
        <x:v>提高</x:v>
      </x:c>
      <x:c r="F34" s="23" t="str">
        <x:v>repair</x:v>
      </x:c>
      <x:c r="G34" s="23" t="n">
        <x:v>2</x:v>
      </x:c>
      <x:c r="H34" s="23" t="str">
        <x:v>r003</x:v>
      </x:c>
      <x:c r="I34" s="23" t="str">
        <x:v>AC</x:v>
      </x:c>
      <x:c r="J34" s="23" t="n">
        <x:v>20</x:v>
      </x:c>
      <x:c r="K34" s="23" t="n">
        <x:v>20</x:v>
      </x:c>
      <x:c r="L34" s="39" t="b">
        <x:v>1</x:v>
      </x:c>
      <x:c r="M34" s="39" t="b">
        <x:v>1</x:v>
      </x:c>
      <x:c r="N34" s="23"/>
      <x:c r="O34" s="23" t="str">
        <x:v>UNRESOLVED</x:v>
      </x:c>
      <x:c r="P34" s="55" t="n">
        <x:v>0.9</x:v>
      </x:c>
      <x:c r="Q34" s="39" t="b">
        <x:v>1</x:v>
      </x:c>
      <x:c r="R34" s="23"/>
      <x:c r="S34" s="58" t="str">
        <x:v>algorithm_critic: Core algorithm (binary search + tree DP with greedy multiset pairing) is correct and optimal. Complexity O(n log n log S) fits limits. Boundary cases handled. Only S7 overstates I/O requirement; freopen</x:v>
      </x:c>
      <x:c r="T34" s="23" t="str">
        <x:v>runs/run_nPPFL5vXxjog7GZ8</x:v>
      </x:c>
    </x:row>
    <x:row r="35" ht="25" customHeight="1">
      <x:c r="A35" s="23" t="str">
        <x:v>run_ndO7vwqrIJ3Ljjsi:r000:initial</x:v>
      </x:c>
      <x:c r="B35" s="23" t="str">
        <x:v>run_ndO7vwqrIJ3Ljjsi</x:v>
      </x:c>
      <x:c r="C35" s="23" t="str">
        <x:v>defense</x:v>
      </x:c>
      <x:c r="D35" s="23" t="str">
        <x:v>保卫王国</x:v>
      </x:c>
      <x:c r="E35" s="23" t="str">
        <x:v>省选/NOI−</x:v>
      </x:c>
      <x:c r="F35" s="23" t="str">
        <x:v>initial</x:v>
      </x:c>
      <x:c r="G35" s="23" t="n">
        <x:v>0</x:v>
      </x:c>
      <x:c r="H35" s="23" t="str">
        <x:v>r000</x:v>
      </x:c>
      <x:c r="I35" s="23" t="str">
        <x:v>AC</x:v>
      </x:c>
      <x:c r="J35" s="23" t="n">
        <x:v>25</x:v>
      </x:c>
      <x:c r="K35" s="23" t="n">
        <x:v>25</x:v>
      </x:c>
      <x:c r="L35" s="39" t="b">
        <x:v>1</x:v>
      </x:c>
      <x:c r="M35" s="39" t="b">
        <x:v>1</x:v>
      </x:c>
      <x:c r="N35" s="23"/>
      <x:c r="O35" s="23" t="str">
        <x:v>UNRESOLVED</x:v>
      </x:c>
      <x:c r="P35" s="55" t="n">
        <x:v>0.9</x:v>
      </x:c>
      <x:c r="Q35" s="23"/>
      <x:c r="R35" s="23"/>
      <x:c r="S35" s="58" t="str">
        <x:v>algorithm_critic: Independent reconstruction confirms the classic NOIP2018 defense solution: root tree, compute subtree DP f and rerooted outside DP up, then precompute binary-lifting min-plus matrices to answer each two</x:v>
      </x:c>
      <x:c r="T35" s="23" t="str">
        <x:v>runs/run_ndO7vwqrIJ3Ljjsi</x:v>
      </x:c>
    </x:row>
    <x:row r="36" ht="25" customHeight="1">
      <x:c r="A36" s="23" t="str">
        <x:v>run_HiIxKF4vvaiYEMsi:r000:initial</x:v>
      </x:c>
      <x:c r="B36" s="23" t="str">
        <x:v>run_HiIxKF4vvaiYEMsi</x:v>
      </x:c>
      <x:c r="C36" s="23" t="str">
        <x:v>game</x:v>
      </x:c>
      <x:c r="D36" s="23" t="str">
        <x:v>填数游戏</x:v>
      </x:c>
      <x:c r="E36" s="23" t="str">
        <x:v>NOI/NOI+/CTS</x:v>
      </x:c>
      <x:c r="F36" s="23" t="str">
        <x:v>initial</x:v>
      </x:c>
      <x:c r="G36" s="23" t="n">
        <x:v>0</x:v>
      </x:c>
      <x:c r="H36" s="23" t="str">
        <x:v>r000</x:v>
      </x:c>
      <x:c r="I36" s="23" t="str">
        <x:v>WA</x:v>
      </x:c>
      <x:c r="J36" s="23" t="n">
        <x:v>10</x:v>
      </x:c>
      <x:c r="K36" s="23" t="n">
        <x:v>20</x:v>
      </x:c>
      <x:c r="L36" s="39" t="b">
        <x:v>0</x:v>
      </x:c>
      <x:c r="M36" s="39" t="b">
        <x:v>1</x:v>
      </x:c>
      <x:c r="N36" s="23"/>
      <x:c r="O36" s="23" t="str">
        <x:v>IMPLEMENTATION_MISMATCH</x:v>
      </x:c>
      <x:c r="P36" s="55" t="n">
        <x:v>1</x:v>
      </x:c>
      <x:c r="Q36" s="23"/>
      <x:c r="R36" s="23"/>
      <x:c r="S36" s="58" t="str">
        <x:v>deterministic_judge_verdict=WA | algorithm_critic: Reconstructed reference algorithm: The condition implies each anti-diagonal (i+j constant) must be non-decreasing (0s then 1s), and an equality-propagation constraint li</x:v>
      </x:c>
      <x:c r="T36" s="23" t="str">
        <x:v>runs/run_HiIxKF4vvaiYEMsi</x:v>
      </x:c>
    </x:row>
    <x:row r="37" ht="25" customHeight="1">
      <x:c r="A37" s="23" t="str">
        <x:v>run_HiIxKF4vvaiYEMsi:r001:repair</x:v>
      </x:c>
      <x:c r="B37" s="23" t="str">
        <x:v>run_HiIxKF4vvaiYEMsi</x:v>
      </x:c>
      <x:c r="C37" s="23" t="str">
        <x:v>game</x:v>
      </x:c>
      <x:c r="D37" s="23" t="str">
        <x:v>填数游戏</x:v>
      </x:c>
      <x:c r="E37" s="23" t="str">
        <x:v>NOI/NOI+/CTS</x:v>
      </x:c>
      <x:c r="F37" s="23" t="str">
        <x:v>repair</x:v>
      </x:c>
      <x:c r="G37" s="23" t="n">
        <x:v>1</x:v>
      </x:c>
      <x:c r="H37" s="23" t="str">
        <x:v>r001</x:v>
      </x:c>
      <x:c r="I37" s="23" t="str">
        <x:v>WA</x:v>
      </x:c>
      <x:c r="J37" s="23" t="n">
        <x:v>10</x:v>
      </x:c>
      <x:c r="K37" s="23" t="n">
        <x:v>20</x:v>
      </x:c>
      <x:c r="L37" s="39" t="b">
        <x:v>0</x:v>
      </x:c>
      <x:c r="M37" s="39" t="b">
        <x:v>1</x:v>
      </x:c>
      <x:c r="N37" s="23"/>
      <x:c r="O37" s="23" t="str">
        <x:v>IMPLEMENTATION_MISMATCH</x:v>
      </x:c>
      <x:c r="P37" s="55" t="n">
        <x:v>1</x:v>
      </x:c>
      <x:c r="Q37" s="39" t="b">
        <x:v>0</x:v>
      </x:c>
      <x:c r="R37" s="23"/>
      <x:c r="S37" s="58" t="str">
        <x:v>deterministic_judge_verdict=WA | algorithm_critic: Reconstructed reference algorithm: condition implies each anti-diagonal is non-decreasing (0s then 1s) and equality propagates along same-parity anti-diagonals; solved b</x:v>
      </x:c>
      <x:c r="T37" s="23" t="str">
        <x:v>runs/run_HiIxKF4vvaiYEMsi</x:v>
      </x:c>
    </x:row>
    <x:row r="38" ht="25" customHeight="1">
      <x:c r="A38" s="23" t="str">
        <x:v>run_HiIxKF4vvaiYEMsi:r002:repair</x:v>
      </x:c>
      <x:c r="B38" s="23" t="str">
        <x:v>run_HiIxKF4vvaiYEMsi</x:v>
      </x:c>
      <x:c r="C38" s="23" t="str">
        <x:v>game</x:v>
      </x:c>
      <x:c r="D38" s="23" t="str">
        <x:v>填数游戏</x:v>
      </x:c>
      <x:c r="E38" s="23" t="str">
        <x:v>NOI/NOI+/CTS</x:v>
      </x:c>
      <x:c r="F38" s="23" t="str">
        <x:v>repair</x:v>
      </x:c>
      <x:c r="G38" s="23" t="n">
        <x:v>2</x:v>
      </x:c>
      <x:c r="H38" s="23" t="str">
        <x:v>r002</x:v>
      </x:c>
      <x:c r="I38" s="23" t="str">
        <x:v>WA</x:v>
      </x:c>
      <x:c r="J38" s="23" t="n">
        <x:v>10</x:v>
      </x:c>
      <x:c r="K38" s="23" t="n">
        <x:v>20</x:v>
      </x:c>
      <x:c r="L38" s="39" t="b">
        <x:v>0</x:v>
      </x:c>
      <x:c r="M38" s="39" t="b">
        <x:v>1</x:v>
      </x:c>
      <x:c r="N38" s="23"/>
      <x:c r="O38" s="23" t="str">
        <x:v>IMPLEMENTATION_MISMATCH</x:v>
      </x:c>
      <x:c r="P38" s="55" t="n">
        <x:v>1</x:v>
      </x:c>
      <x:c r="Q38" s="39" t="b">
        <x:v>0</x:v>
      </x:c>
      <x:c r="R38" s="23"/>
      <x:c r="S38" s="58" t="str">
        <x:v>deterministic_judge_verdict=WA | algorithm_critic: Reference algorithm correctly reconstructed: condition equivalent to monotonic anti-diagonals plus same-parity equality propagation; solved by independent even/odd DP ov</x:v>
      </x:c>
      <x:c r="T38" s="23" t="str">
        <x:v>runs/run_HiIxKF4vvaiYEMsi</x:v>
      </x:c>
    </x:row>
    <x:row r="39" ht="25" customHeight="1">
      <x:c r="A39" s="23" t="str">
        <x:v>run_2zlqYfQNpQr4tOSi:r000:initial</x:v>
      </x:c>
      <x:c r="B39" s="23" t="str">
        <x:v>run_2zlqYfQNpQr4tOSi</x:v>
      </x:c>
      <x:c r="C39" s="23" t="str">
        <x:v>travel</x:v>
      </x:c>
      <x:c r="D39" s="23" t="str">
        <x:v>旅行</x:v>
      </x:c>
      <x:c r="E39" s="23" t="str">
        <x:v>提高</x:v>
      </x:c>
      <x:c r="F39" s="23" t="str">
        <x:v>initial</x:v>
      </x:c>
      <x:c r="G39" s="23" t="n">
        <x:v>0</x:v>
      </x:c>
      <x:c r="H39" s="23" t="str">
        <x:v>r000</x:v>
      </x:c>
      <x:c r="I39" s="23" t="str">
        <x:v>AC</x:v>
      </x:c>
      <x:c r="J39" s="23" t="n">
        <x:v>25</x:v>
      </x:c>
      <x:c r="K39" s="23" t="n">
        <x:v>25</x:v>
      </x:c>
      <x:c r="L39" s="39" t="b">
        <x:v>1</x:v>
      </x:c>
      <x:c r="M39" s="39" t="b">
        <x:v>1</x:v>
      </x:c>
      <x:c r="N39" s="23"/>
      <x:c r="O39" s="23" t="str">
        <x:v>UNRESOLVED</x:v>
      </x:c>
      <x:c r="P39" s="55" t="n">
        <x:v>0.9</x:v>
      </x:c>
      <x:c r="Q39" s="23"/>
      <x:c r="R39" s="23"/>
      <x:c r="S39" s="58" t="str">
        <x:v>algorithm_critic: The reconstructed reference algorithm is correct for both tree (m=n-1) and unicyclic (m=n) cases. Steps S1-S6 are valid. Proof obligations hold: root 1 is optimal; sorted-child DFS minimizes preorder le</x:v>
      </x:c>
      <x:c r="T39" s="23" t="str">
        <x:v>runs/run_2zlqYfQNpQr4tOSi</x:v>
      </x:c>
    </x:row>
    <x:row r="40" ht="25" customHeight="1">
      <x:c r="A40" s="23" t="str">
        <x:v>run_R9reSD2WJqZJHWd9:r000:initial</x:v>
      </x:c>
      <x:c r="B40" s="23" t="str">
        <x:v>run_R9reSD2WJqZJHWd9</x:v>
      </x:c>
      <x:c r="C40" s="23" t="str">
        <x:v>track</x:v>
      </x:c>
      <x:c r="D40" s="23" t="str">
        <x:v>赛道修建</x:v>
      </x:c>
      <x:c r="E40" s="23" t="str">
        <x:v>提高</x:v>
      </x:c>
      <x:c r="F40" s="23" t="str">
        <x:v>initial</x:v>
      </x:c>
      <x:c r="G40" s="23" t="n">
        <x:v>0</x:v>
      </x:c>
      <x:c r="H40" s="23" t="str">
        <x:v>r000</x:v>
      </x:c>
      <x:c r="I40" s="23" t="str">
        <x:v>WA</x:v>
      </x:c>
      <x:c r="J40" s="23" t="n">
        <x:v>16</x:v>
      </x:c>
      <x:c r="K40" s="23" t="n">
        <x:v>20</x:v>
      </x:c>
      <x:c r="L40" s="39" t="b">
        <x:v>0</x:v>
      </x:c>
      <x:c r="M40" s="39" t="b">
        <x:v>1</x:v>
      </x:c>
      <x:c r="N40" s="23"/>
      <x:c r="O40" s="23" t="str">
        <x:v>IMPLEMENTATION_MISMATCH</x:v>
      </x:c>
      <x:c r="P40" s="55" t="n">
        <x:v>1</x:v>
      </x:c>
      <x:c r="Q40" s="23"/>
      <x:c r="R40" s="23"/>
      <x:c r="S40" s="58" t="str">
        <x:v>deterministic_judge_verdict=WA | algorithm_critic: The reconstructed algorithm matches the known correct solution for NOIP2018 track: binary search on minimum length L with a greedy tree DP that counts maximal edge-disjo</x:v>
      </x:c>
      <x:c r="T40" s="23" t="str">
        <x:v>runs/run_R9reSD2WJqZJHWd9</x:v>
      </x:c>
    </x:row>
    <x:row r="41" ht="25" customHeight="1">
      <x:c r="A41" s="23" t="str">
        <x:v>run_R9reSD2WJqZJHWd9:r001:repair</x:v>
      </x:c>
      <x:c r="B41" s="23" t="str">
        <x:v>run_R9reSD2WJqZJHWd9</x:v>
      </x:c>
      <x:c r="C41" s="23" t="str">
        <x:v>track</x:v>
      </x:c>
      <x:c r="D41" s="23" t="str">
        <x:v>赛道修建</x:v>
      </x:c>
      <x:c r="E41" s="23" t="str">
        <x:v>提高</x:v>
      </x:c>
      <x:c r="F41" s="23" t="str">
        <x:v>repair</x:v>
      </x:c>
      <x:c r="G41" s="23" t="n">
        <x:v>1</x:v>
      </x:c>
      <x:c r="H41" s="23" t="str">
        <x:v>r001</x:v>
      </x:c>
      <x:c r="I41" s="23" t="str">
        <x:v>AC</x:v>
      </x:c>
      <x:c r="J41" s="23" t="n">
        <x:v>20</x:v>
      </x:c>
      <x:c r="K41" s="23" t="n">
        <x:v>20</x:v>
      </x:c>
      <x:c r="L41" s="39" t="b">
        <x:v>1</x:v>
      </x:c>
      <x:c r="M41" s="39" t="b">
        <x:v>1</x:v>
      </x:c>
      <x:c r="N41" s="23"/>
      <x:c r="O41" s="23" t="str">
        <x:v>UNRESOLVED</x:v>
      </x:c>
      <x:c r="P41" s="55" t="n">
        <x:v>0.9</x:v>
      </x:c>
      <x:c r="Q41" s="39" t="b">
        <x:v>1</x:v>
      </x:c>
      <x:c r="R41" s="23"/>
      <x:c r="S41" s="58" t="str">
        <x:v>algorithm_critic: Reconstructed reference algorithm: binary search on minimum track length L, with tree DP that counts tracks &gt;=L by pairing child chains greedily and propagating the longest unmatched chain upward. All p</x:v>
      </x:c>
      <x:c r="T41" s="23" t="str">
        <x:v>runs/run_R9reSD2WJqZJHWd9</x:v>
      </x:c>
    </x:row>
    <x:row r="42" ht="25" customHeight="1">
      <x:c r="A42" s="23" t="str">
        <x:v>run_Qz4NGzzFU9H4ai5V:r000:initial</x:v>
      </x:c>
      <x:c r="B42" s="23" t="str">
        <x:v>run_Qz4NGzzFU9H4ai5V</x:v>
      </x:c>
      <x:c r="C42" s="23" t="str">
        <x:v>game</x:v>
      </x:c>
      <x:c r="D42" s="23" t="str">
        <x:v>填数游戏</x:v>
      </x:c>
      <x:c r="E42" s="23" t="str">
        <x:v>NOI/NOI+/CTS</x:v>
      </x:c>
      <x:c r="F42" s="23" t="str">
        <x:v>initial</x:v>
      </x:c>
      <x:c r="G42" s="23" t="n">
        <x:v>0</x:v>
      </x:c>
      <x:c r="H42" s="23" t="str">
        <x:v>r000</x:v>
      </x:c>
      <x:c r="I42" s="23" t="str">
        <x:v>TLE</x:v>
      </x:c>
      <x:c r="J42" s="23" t="n">
        <x:v>1</x:v>
      </x:c>
      <x:c r="K42" s="23" t="n">
        <x:v>20</x:v>
      </x:c>
      <x:c r="L42" s="39" t="b">
        <x:v>0</x:v>
      </x:c>
      <x:c r="M42" s="39" t="b">
        <x:v>1</x:v>
      </x:c>
      <x:c r="N42" s="23"/>
      <x:c r="O42" s="23" t="str">
        <x:v>COMPLEXITY_TLE</x:v>
      </x:c>
      <x:c r="P42" s="55" t="n">
        <x:v>1</x:v>
      </x:c>
      <x:c r="Q42" s="23"/>
      <x:c r="R42" s="23"/>
      <x:c r="S42" s="58" t="str">
        <x:v>deterministic_judge_verdict=TLE | algorithm_critic: The reconstructed algorithm matches the known NOIP2018 '填数游戏' solution: the path-lexicographic condition reduces to local 2×2 constraints (top-right ≤ bottom-left) with</x:v>
      </x:c>
      <x:c r="T42" s="23" t="str">
        <x:v>runs/run_Qz4NGzzFU9H4ai5V</x:v>
      </x:c>
    </x:row>
    <x:row r="43" ht="25" customHeight="1">
      <x:c r="A43" s="23" t="str">
        <x:v>run_Qz4NGzzFU9H4ai5V:r001:repair</x:v>
      </x:c>
      <x:c r="B43" s="23" t="str">
        <x:v>run_Qz4NGzzFU9H4ai5V</x:v>
      </x:c>
      <x:c r="C43" s="23" t="str">
        <x:v>game</x:v>
      </x:c>
      <x:c r="D43" s="23" t="str">
        <x:v>填数游戏</x:v>
      </x:c>
      <x:c r="E43" s="23" t="str">
        <x:v>NOI/NOI+/CTS</x:v>
      </x:c>
      <x:c r="F43" s="23" t="str">
        <x:v>repair</x:v>
      </x:c>
      <x:c r="G43" s="23" t="n">
        <x:v>1</x:v>
      </x:c>
      <x:c r="H43" s="23" t="str">
        <x:v>r001</x:v>
      </x:c>
      <x:c r="I43" s="23" t="str">
        <x:v>RE</x:v>
      </x:c>
      <x:c r="J43" s="23" t="n">
        <x:v>1</x:v>
      </x:c>
      <x:c r="K43" s="23" t="n">
        <x:v>20</x:v>
      </x:c>
      <x:c r="L43" s="39" t="b">
        <x:v>0</x:v>
      </x:c>
      <x:c r="M43" s="39" t="b">
        <x:v>1</x:v>
      </x:c>
      <x:c r="N43" s="23"/>
      <x:c r="O43" s="23" t="str">
        <x:v>RUNTIME_ERROR</x:v>
      </x:c>
      <x:c r="P43" s="55" t="n">
        <x:v>1</x:v>
      </x:c>
      <x:c r="Q43" s="39" t="b">
        <x:v>0</x:v>
      </x:c>
      <x:c r="R43" s="23"/>
      <x:c r="S43" s="58" t="str">
        <x:v>deterministic_judge_verdict=RE | algorithm_critic: The reconstructed algorithm correctly identifies the lexicographic condition implies A[r][c+1] ≤ A[r+1][c] and that equality propagates along staircases. However step R2</x:v>
      </x:c>
      <x:c r="T43" s="23" t="str">
        <x:v>runs/run_Qz4NGzzFU9H4ai5V</x:v>
      </x:c>
    </x:row>
    <x:row r="44" ht="25" customHeight="1">
      <x:c r="A44" s="23" t="str">
        <x:v>run_Qz4NGzzFU9H4ai5V:r002:repair</x:v>
      </x:c>
      <x:c r="B44" s="23" t="str">
        <x:v>run_Qz4NGzzFU9H4ai5V</x:v>
      </x:c>
      <x:c r="C44" s="23" t="str">
        <x:v>game</x:v>
      </x:c>
      <x:c r="D44" s="23" t="str">
        <x:v>填数游戏</x:v>
      </x:c>
      <x:c r="E44" s="23" t="str">
        <x:v>NOI/NOI+/CTS</x:v>
      </x:c>
      <x:c r="F44" s="23" t="str">
        <x:v>repair</x:v>
      </x:c>
      <x:c r="G44" s="23" t="n">
        <x:v>2</x:v>
      </x:c>
      <x:c r="H44" s="23" t="str">
        <x:v>r002</x:v>
      </x:c>
      <x:c r="I44" s="23" t="str">
        <x:v>TLE</x:v>
      </x:c>
      <x:c r="J44" s="23" t="n">
        <x:v>1</x:v>
      </x:c>
      <x:c r="K44" s="23" t="n">
        <x:v>20</x:v>
      </x:c>
      <x:c r="L44" s="39" t="b">
        <x:v>0</x:v>
      </x:c>
      <x:c r="M44" s="39" t="b">
        <x:v>1</x:v>
      </x:c>
      <x:c r="N44" s="23"/>
      <x:c r="O44" s="23" t="str">
        <x:v>COMPLEXITY_TLE</x:v>
      </x:c>
      <x:c r="P44" s="55" t="n">
        <x:v>1</x:v>
      </x:c>
      <x:c r="Q44" s="39" t="b">
        <x:v>0</x:v>
      </x:c>
      <x:c r="R44" s="23"/>
      <x:c r="S44" s="58" t="str">
        <x:v>deterministic_judge_verdict=TLE | algorithm_critic: Reference algorithm: condition is equivalent to every 2x2 having top-right &lt;= bottom-left, and if equality holds at (r,c+1)==(r+1,c) then the diagonal pair (r+1,c+2)==(</x:v>
      </x:c>
      <x:c r="T44" s="23" t="str">
        <x:v>runs/run_Qz4NGzzFU9H4ai5V</x:v>
      </x:c>
    </x:row>
    <x:row r="45" ht="25" customHeight="1">
      <x:c r="A45" s="23" t="str">
        <x:v>run_JaRCJGH9JcKuBQX:r000:initial</x:v>
      </x:c>
      <x:c r="B45" s="23" t="str">
        <x:v>run_JaRCJGH9JcKuBQX</x:v>
      </x:c>
      <x:c r="C45" s="23" t="str">
        <x:v>csps2019_senior_brackets</x:v>
      </x:c>
      <x:c r="D45" s="23" t="str">
        <x:v>括号树</x:v>
      </x:c>
      <x:c r="E45" s="23" t="str">
        <x:v>普及+/提高−</x:v>
      </x:c>
      <x:c r="F45" s="23" t="str">
        <x:v>initial</x:v>
      </x:c>
      <x:c r="G45" s="23" t="n">
        <x:v>0</x:v>
      </x:c>
      <x:c r="H45" s="23" t="str">
        <x:v>r000</x:v>
      </x:c>
      <x:c r="I45" s="23" t="str">
        <x:v>AC</x:v>
      </x:c>
      <x:c r="J45" s="23" t="n">
        <x:v>20</x:v>
      </x:c>
      <x:c r="K45" s="23" t="n">
        <x:v>20</x:v>
      </x:c>
      <x:c r="L45" s="39" t="b">
        <x:v>1</x:v>
      </x:c>
      <x:c r="M45" s="39" t="b">
        <x:v>0</x:v>
      </x:c>
      <x:c r="N45" s="23"/>
      <x:c r="O45" s="23" t="str">
        <x:v>RESULT_CORRECT_PROCESS_INVALID</x:v>
      </x:c>
      <x:c r="P45" s="55" t="n">
        <x:v>0.9</x:v>
      </x:c>
      <x:c r="Q45" s="23"/>
      <x:c r="R45" s="23"/>
      <x:c r="S45" s="58" t="str">
        <x:v>algorithm_critic: Reconstructed reference algorithm: process nodes in increasing id order (valid because f_u&lt;u). For each node i maintain top[i] (index of deepest unmatched '(' on root→i path) and end_cnt[i] (number of v</x:v>
      </x:c>
      <x:c r="T45" s="23" t="str">
        <x:v>runs/run_JaRCJGH9JcKuBQX</x:v>
      </x:c>
    </x:row>
    <x:row r="46" ht="25" customHeight="1">
      <x:c r="A46" s="23" t="str">
        <x:v>run_gOowsDgYELSN39l:r000:initial</x:v>
      </x:c>
      <x:c r="B46" s="23" t="str">
        <x:v>run_gOowsDgYELSN39l</x:v>
      </x:c>
      <x:c r="C46" s="23" t="str">
        <x:v>csps2019_senior_meal</x:v>
      </x:c>
      <x:c r="D46" s="23" t="str">
        <x:v>Emiya 家今天的饭</x:v>
      </x:c>
      <x:c r="E46" s="23" t="str">
        <x:v>提高+/省选−</x:v>
      </x:c>
      <x:c r="F46" s="23" t="str">
        <x:v>initial</x:v>
      </x:c>
      <x:c r="G46" s="23" t="n">
        <x:v>0</x:v>
      </x:c>
      <x:c r="H46" s="23" t="str">
        <x:v>r000</x:v>
      </x:c>
      <x:c r="I46" s="23" t="str">
        <x:v>AC</x:v>
      </x:c>
      <x:c r="J46" s="23" t="n">
        <x:v>25</x:v>
      </x:c>
      <x:c r="K46" s="23" t="n">
        <x:v>25</x:v>
      </x:c>
      <x:c r="L46" s="39" t="b">
        <x:v>1</x:v>
      </x:c>
      <x:c r="M46" s="39" t="b">
        <x:v>0</x:v>
      </x:c>
      <x:c r="N46" s="23"/>
      <x:c r="O46" s="23" t="str">
        <x:v>RESULT_CORRECT_PROCESS_INVALID</x:v>
      </x:c>
      <x:c r="P46" s="55" t="n">
        <x:v>0.9</x:v>
      </x:c>
      <x:c r="Q46" s="23"/>
      <x:c r="R46" s="23"/>
      <x:c r="S46" s="58" t="str">
        <x:v>algorithm_critic: Reconstructed reference algorithm: compute total non-empty distinct-method schemes, then for each ingredient p use DP over methods tracking difference count_p - count_other to count bad schemes where p </x:v>
      </x:c>
      <x:c r="T46" s="23" t="str">
        <x:v>runs/run_gOowsDgYELSN39l</x:v>
      </x:c>
    </x:row>
    <x:row r="47" ht="25" customHeight="1">
      <x:c r="A47" s="23" t="str">
        <x:v>run_gOowsDgYELSN39l:r001:repair</x:v>
      </x:c>
      <x:c r="B47" s="23" t="str">
        <x:v>run_gOowsDgYELSN39l</x:v>
      </x:c>
      <x:c r="C47" s="23" t="str">
        <x:v>csps2019_senior_meal</x:v>
      </x:c>
      <x:c r="D47" s="23" t="str">
        <x:v>Emiya 家今天的饭</x:v>
      </x:c>
      <x:c r="E47" s="23" t="str">
        <x:v>提高+/省选−</x:v>
      </x:c>
      <x:c r="F47" s="23" t="str">
        <x:v>repair</x:v>
      </x:c>
      <x:c r="G47" s="23" t="n">
        <x:v>1</x:v>
      </x:c>
      <x:c r="H47" s="23" t="str">
        <x:v>r001</x:v>
      </x:c>
      <x:c r="I47" s="23" t="str">
        <x:v>AC</x:v>
      </x:c>
      <x:c r="J47" s="23" t="n">
        <x:v>25</x:v>
      </x:c>
      <x:c r="K47" s="23" t="n">
        <x:v>25</x:v>
      </x:c>
      <x:c r="L47" s="39" t="b">
        <x:v>1</x:v>
      </x:c>
      <x:c r="M47" s="39" t="b">
        <x:v>0</x:v>
      </x:c>
      <x:c r="N47" s="23"/>
      <x:c r="O47" s="23" t="str">
        <x:v>RESULT_CORRECT_PROCESS_INVALID</x:v>
      </x:c>
      <x:c r="P47" s="55" t="n">
        <x:v>0.9</x:v>
      </x:c>
      <x:c r="Q47" s="39" t="b">
        <x:v>0</x:v>
      </x:c>
      <x:c r="R47" s="23"/>
      <x:c r="S47" s="58" t="str">
        <x:v>algorithm_critic: The reconstructed reference algorithm is standard complementary counting with DP over cooking methods tracking difference between majority ingredient count and others. All provided steps S1–S6 are mathe</x:v>
      </x:c>
      <x:c r="T47" s="23" t="str">
        <x:v>runs/run_gOowsDgYELSN39l</x:v>
      </x:c>
    </x:row>
    <x:row r="48" ht="25" customHeight="1">
      <x:c r="A48" s="23" t="str">
        <x:v>run_gOowsDgYELSN39l:r002:repair</x:v>
      </x:c>
      <x:c r="B48" s="23" t="str">
        <x:v>run_gOowsDgYELSN39l</x:v>
      </x:c>
      <x:c r="C48" s="23" t="str">
        <x:v>csps2019_senior_meal</x:v>
      </x:c>
      <x:c r="D48" s="23" t="str">
        <x:v>Emiya 家今天的饭</x:v>
      </x:c>
      <x:c r="E48" s="23" t="str">
        <x:v>提高+/省选−</x:v>
      </x:c>
      <x:c r="F48" s="23" t="str">
        <x:v>repair</x:v>
      </x:c>
      <x:c r="G48" s="23" t="n">
        <x:v>2</x:v>
      </x:c>
      <x:c r="H48" s="23" t="str">
        <x:v>r002</x:v>
      </x:c>
      <x:c r="I48" s="23" t="str">
        <x:v>AC</x:v>
      </x:c>
      <x:c r="J48" s="23" t="n">
        <x:v>25</x:v>
      </x:c>
      <x:c r="K48" s="23" t="n">
        <x:v>25</x:v>
      </x:c>
      <x:c r="L48" s="39" t="b">
        <x:v>1</x:v>
      </x:c>
      <x:c r="M48" s="39" t="b">
        <x:v>0</x:v>
      </x:c>
      <x:c r="N48" s="23"/>
      <x:c r="O48" s="23" t="str">
        <x:v>RESULT_CORRECT_PROCESS_INVALID</x:v>
      </x:c>
      <x:c r="P48" s="55" t="n">
        <x:v>0.9</x:v>
      </x:c>
      <x:c r="Q48" s="39" t="b">
        <x:v>0</x:v>
      </x:c>
      <x:c r="R48" s="23"/>
      <x:c r="S48" s="58" t="str">
        <x:v>algorithm_critic: Reconstructed reference algorithm: complementary counting. Total non-empty schemes with distinct cooking methods = ∏(1+sum_i)-1. For each ingredient p, DP over methods i=1..n with state d = (#p)-(#other</x:v>
      </x:c>
      <x:c r="T48" s="23" t="str">
        <x:v>runs/run_gOowsDgYELSN39l</x:v>
      </x:c>
    </x:row>
    <x:row r="49" ht="25" customHeight="1">
      <x:c r="A49" s="23" t="str">
        <x:v>run_1m3mkQ91xTgx3KFV:r000:initial</x:v>
      </x:c>
      <x:c r="B49" s="23" t="str">
        <x:v>run_1m3mkQ91xTgx3KFV</x:v>
      </x:c>
      <x:c r="C49" s="23" t="str">
        <x:v>csps2019_senior_brackets</x:v>
      </x:c>
      <x:c r="D49" s="23" t="str">
        <x:v>括号树</x:v>
      </x:c>
      <x:c r="E49" s="23" t="str">
        <x:v>普及+/提高−</x:v>
      </x:c>
      <x:c r="F49" s="23" t="str">
        <x:v>initial</x:v>
      </x:c>
      <x:c r="G49" s="23" t="n">
        <x:v>0</x:v>
      </x:c>
      <x:c r="H49" s="23" t="str">
        <x:v>r000</x:v>
      </x:c>
      <x:c r="I49" s="23" t="str">
        <x:v>AC</x:v>
      </x:c>
      <x:c r="J49" s="23" t="n">
        <x:v>20</x:v>
      </x:c>
      <x:c r="K49" s="23" t="n">
        <x:v>20</x:v>
      </x:c>
      <x:c r="L49" s="39" t="b">
        <x:v>1</x:v>
      </x:c>
      <x:c r="M49" s="39" t="b">
        <x:v>0</x:v>
      </x:c>
      <x:c r="N49" s="23"/>
      <x:c r="O49" s="23" t="str">
        <x:v>RESULT_CORRECT_PROCESS_INVALID</x:v>
      </x:c>
      <x:c r="P49" s="55" t="n">
        <x:v>0.9</x:v>
      </x:c>
      <x:c r="Q49" s="23"/>
      <x:c r="R49" s="23"/>
      <x:c r="S49" s="58" t="str">
        <x:v>algorithm_critic: Reference algorithm: For each node, s_i is parent's string plus one bracket. Maintain a stack of unmatched '(' indices and dp[pos] = number of valid bracket substrings ending at current path position po</x:v>
      </x:c>
      <x:c r="T49" s="23" t="str">
        <x:v>runs/run_1m3mkQ91xTgx3KFV</x:v>
      </x:c>
    </x:row>
    <x:row r="50" ht="25" customHeight="1">
      <x:c r="A50" s="23" t="str">
        <x:v>run_krEiXGViNlhpYyxV:r000:initial</x:v>
      </x:c>
      <x:c r="B50" s="23" t="str">
        <x:v>run_krEiXGViNlhpYyxV</x:v>
      </x:c>
      <x:c r="C50" s="23" t="str">
        <x:v>csps2019_senior_meal</x:v>
      </x:c>
      <x:c r="D50" s="23" t="str">
        <x:v>Emiya 家今天的饭</x:v>
      </x:c>
      <x:c r="E50" s="23" t="str">
        <x:v>提高+/省选−</x:v>
      </x:c>
      <x:c r="F50" s="23" t="str">
        <x:v>initial</x:v>
      </x:c>
      <x:c r="G50" s="23" t="n">
        <x:v>0</x:v>
      </x:c>
      <x:c r="H50" s="23" t="str">
        <x:v>r000</x:v>
      </x:c>
      <x:c r="I50" s="23" t="str">
        <x:v>AC</x:v>
      </x:c>
      <x:c r="J50" s="23" t="n">
        <x:v>25</x:v>
      </x:c>
      <x:c r="K50" s="23" t="n">
        <x:v>25</x:v>
      </x:c>
      <x:c r="L50" s="39" t="b">
        <x:v>1</x:v>
      </x:c>
      <x:c r="M50" s="39" t="b">
        <x:v>0</x:v>
      </x:c>
      <x:c r="N50" s="23"/>
      <x:c r="O50" s="23" t="str">
        <x:v>RESULT_CORRECT_PROCESS_INVALID</x:v>
      </x:c>
      <x:c r="P50" s="55" t="n">
        <x:v>0.9</x:v>
      </x:c>
      <x:c r="Q50" s="23"/>
      <x:c r="R50" s="23"/>
      <x:c r="S50" s="58" t="str">
        <x:v>algorithm_critic: Reference algorithm correctly reconstructed: total distinct-method subsets minus those where some ingredient is majority, computed via per-ingredient DP on difference count_j - count_others. All steps S</x:v>
      </x:c>
      <x:c r="T50" s="23" t="str">
        <x:v>runs/run_krEiXGViNlhpYyxV</x:v>
      </x:c>
    </x:row>
    <x:row r="51" ht="25" customHeight="1">
      <x:c r="A51" s="23" t="str">
        <x:v>run_4J2fCnZb2kPE91LY:r000:initial</x:v>
      </x:c>
      <x:c r="B51" s="23" t="str">
        <x:v>run_4J2fCnZb2kPE91LY</x:v>
      </x:c>
      <x:c r="C51" s="23" t="str">
        <x:v>csps2021_senior_palin</x:v>
      </x:c>
      <x:c r="D51" s="23" t="str">
        <x:v>回文</x:v>
      </x:c>
      <x:c r="E51" s="23" t="str">
        <x:v>普及+/提高−</x:v>
      </x:c>
      <x:c r="F51" s="23" t="str">
        <x:v>initial</x:v>
      </x:c>
      <x:c r="G51" s="23" t="n">
        <x:v>0</x:v>
      </x:c>
      <x:c r="H51" s="23" t="str">
        <x:v>r000</x:v>
      </x:c>
      <x:c r="I51" s="23" t="str">
        <x:v>WA</x:v>
      </x:c>
      <x:c r="J51" s="23" t="n">
        <x:v>4</x:v>
      </x:c>
      <x:c r="K51" s="23" t="n">
        <x:v>25</x:v>
      </x:c>
      <x:c r="L51" s="39" t="b">
        <x:v>0</x:v>
      </x:c>
      <x:c r="M51" s="39" t="b">
        <x:v>0</x:v>
      </x:c>
      <x:c r="N51" s="23"/>
      <x:c r="O51" s="23" t="str">
        <x:v>IMPLEMENTATION_MISMATCH</x:v>
      </x:c>
      <x:c r="P51" s="55" t="n">
        <x:v>1</x:v>
      </x:c>
      <x:c r="Q51" s="23"/>
      <x:c r="R51" s="23"/>
      <x:c r="S51" s="58" t="str">
        <x:v>deterministic_judge_verdict=WA | judge_failure_pattern=AC:4,WA:21 | judge_exit_codes=0:25</x:v>
      </x:c>
      <x:c r="T51" s="23" t="str">
        <x:v>runs/run_4J2fCnZb2kPE91LY</x:v>
      </x:c>
    </x:row>
    <x:row r="52" ht="25" customHeight="1">
      <x:c r="A52" s="23" t="str">
        <x:v>run_4J2fCnZb2kPE91LY:r001:repair</x:v>
      </x:c>
      <x:c r="B52" s="23" t="str">
        <x:v>run_4J2fCnZb2kPE91LY</x:v>
      </x:c>
      <x:c r="C52" s="23" t="str">
        <x:v>csps2021_senior_palin</x:v>
      </x:c>
      <x:c r="D52" s="23" t="str">
        <x:v>回文</x:v>
      </x:c>
      <x:c r="E52" s="23" t="str">
        <x:v>普及+/提高−</x:v>
      </x:c>
      <x:c r="F52" s="23" t="str">
        <x:v>repair</x:v>
      </x:c>
      <x:c r="G52" s="23" t="n">
        <x:v>1</x:v>
      </x:c>
      <x:c r="H52" s="23" t="str">
        <x:v>r001</x:v>
      </x:c>
      <x:c r="I52" s="23" t="str">
        <x:v>TLE</x:v>
      </x:c>
      <x:c r="J52" s="23" t="n">
        <x:v>0</x:v>
      </x:c>
      <x:c r="K52" s="23" t="n">
        <x:v>25</x:v>
      </x:c>
      <x:c r="L52" s="39" t="b">
        <x:v>0</x:v>
      </x:c>
      <x:c r="M52" s="39" t="b">
        <x:v>0</x:v>
      </x:c>
      <x:c r="N52" s="23"/>
      <x:c r="O52" s="23" t="str">
        <x:v>COMPLEXITY_TLE</x:v>
      </x:c>
      <x:c r="P52" s="55" t="n">
        <x:v>1</x:v>
      </x:c>
      <x:c r="Q52" s="39" t="b">
        <x:v>0</x:v>
      </x:c>
      <x:c r="R52" s="23"/>
      <x:c r="S52" s="58" t="str">
        <x:v>deterministic_judge_verdict=TLE | judge_failure_pattern=TLE:15,WA:10 | judge_exit_codes=0:10,137:15</x:v>
      </x:c>
      <x:c r="T52" s="23" t="str">
        <x:v>runs/run_4J2fCnZb2kPE91LY</x:v>
      </x:c>
    </x:row>
    <x:row r="53" ht="25" customHeight="1">
      <x:c r="A53" s="23" t="str">
        <x:v>run_4J2fCnZb2kPE91LY:r002:repair</x:v>
      </x:c>
      <x:c r="B53" s="23" t="str">
        <x:v>run_4J2fCnZb2kPE91LY</x:v>
      </x:c>
      <x:c r="C53" s="23" t="str">
        <x:v>csps2021_senior_palin</x:v>
      </x:c>
      <x:c r="D53" s="23" t="str">
        <x:v>回文</x:v>
      </x:c>
      <x:c r="E53" s="23" t="str">
        <x:v>普及+/提高−</x:v>
      </x:c>
      <x:c r="F53" s="23" t="str">
        <x:v>repair</x:v>
      </x:c>
      <x:c r="G53" s="23" t="n">
        <x:v>2</x:v>
      </x:c>
      <x:c r="H53" s="23" t="str">
        <x:v>r002</x:v>
      </x:c>
      <x:c r="I53" s="23" t="str">
        <x:v>WA</x:v>
      </x:c>
      <x:c r="J53" s="23" t="n">
        <x:v>6</x:v>
      </x:c>
      <x:c r="K53" s="23" t="n">
        <x:v>25</x:v>
      </x:c>
      <x:c r="L53" s="39" t="b">
        <x:v>0</x:v>
      </x:c>
      <x:c r="M53" s="39" t="b">
        <x:v>0</x:v>
      </x:c>
      <x:c r="N53" s="23"/>
      <x:c r="O53" s="23" t="str">
        <x:v>IMPLEMENTATION_MISMATCH</x:v>
      </x:c>
      <x:c r="P53" s="55" t="n">
        <x:v>1</x:v>
      </x:c>
      <x:c r="Q53" s="39" t="b">
        <x:v>1</x:v>
      </x:c>
      <x:c r="R53" s="23"/>
      <x:c r="S53" s="58" t="str">
        <x:v>deterministic_judge_verdict=WA | judge_failure_pattern=AC:6,WA:19 | judge_exit_codes=0:25</x:v>
      </x:c>
      <x:c r="T53" s="23" t="str">
        <x:v>runs/run_4J2fCnZb2kPE91LY</x:v>
      </x:c>
    </x:row>
    <x:row r="54" ht="25" customHeight="1">
      <x:c r="A54" s="23" t="str">
        <x:v>run_4J2fCnZb2kPE91LY:r003:repair</x:v>
      </x:c>
      <x:c r="B54" s="23" t="str">
        <x:v>run_4J2fCnZb2kPE91LY</x:v>
      </x:c>
      <x:c r="C54" s="23" t="str">
        <x:v>csps2021_senior_palin</x:v>
      </x:c>
      <x:c r="D54" s="23" t="str">
        <x:v>回文</x:v>
      </x:c>
      <x:c r="E54" s="23" t="str">
        <x:v>普及+/提高−</x:v>
      </x:c>
      <x:c r="F54" s="23" t="str">
        <x:v>repair</x:v>
      </x:c>
      <x:c r="G54" s="23" t="n">
        <x:v>3</x:v>
      </x:c>
      <x:c r="H54" s="23" t="str">
        <x:v>r003</x:v>
      </x:c>
      <x:c r="I54" s="23" t="str">
        <x:v>WA</x:v>
      </x:c>
      <x:c r="J54" s="23" t="n">
        <x:v>6</x:v>
      </x:c>
      <x:c r="K54" s="23" t="n">
        <x:v>25</x:v>
      </x:c>
      <x:c r="L54" s="39" t="b">
        <x:v>0</x:v>
      </x:c>
      <x:c r="M54" s="39" t="b">
        <x:v>0</x:v>
      </x:c>
      <x:c r="N54" s="23"/>
      <x:c r="O54" s="23" t="str">
        <x:v>IMPLEMENTATION_MISMATCH</x:v>
      </x:c>
      <x:c r="P54" s="55" t="n">
        <x:v>1</x:v>
      </x:c>
      <x:c r="Q54" s="39" t="b">
        <x:v>0</x:v>
      </x:c>
      <x:c r="R54" s="23"/>
      <x:c r="S54" s="58" t="str">
        <x:v>deterministic_judge_verdict=WA | judge_failure_pattern=AC:6,WA:19 | judge_exit_codes=0:25</x:v>
      </x:c>
      <x:c r="T54" s="23" t="str">
        <x:v>runs/run_4J2fCnZb2kPE91LY</x:v>
      </x:c>
    </x:row>
    <x:row r="55" ht="25" customHeight="1">
      <x:c r="A55" s="23" t="str">
        <x:v>run_x9TrdvwNh7zDpLd:r000:initial</x:v>
      </x:c>
      <x:c r="B55" s="23" t="str">
        <x:v>run_x9TrdvwNh7zDpLd</x:v>
      </x:c>
      <x:c r="C55" s="23" t="str">
        <x:v>noip2015_senior_landlords</x:v>
      </x:c>
      <x:c r="D55" s="23" t="str">
        <x:v>斗地主</x:v>
      </x:c>
      <x:c r="E55" s="23" t="str">
        <x:v>提高</x:v>
      </x:c>
      <x:c r="F55" s="23" t="str">
        <x:v>initial</x:v>
      </x:c>
      <x:c r="G55" s="23" t="n">
        <x:v>0</x:v>
      </x:c>
      <x:c r="H55" s="23" t="str">
        <x:v>r000</x:v>
      </x:c>
      <x:c r="I55" s="23"/>
      <x:c r="J55" s="23"/>
      <x:c r="K55" s="23"/>
      <x:c r="L55" s="39" t="b">
        <x:v>0</x:v>
      </x:c>
      <x:c r="M55" s="39" t="b">
        <x:v>0</x:v>
      </x:c>
      <x:c r="N55" s="23"/>
      <x:c r="O55" s="23" t="str">
        <x:v>COMPILE_ERROR</x:v>
      </x:c>
      <x:c r="P55" s="55" t="n">
        <x:v>1</x:v>
      </x:c>
      <x:c r="Q55" s="23"/>
      <x:c r="R55" s="23"/>
      <x:c r="S55" s="58" t="str">
        <x:v>deterministic_judge_verdict=CE | algorithm_critic: Reference algorithm: map cards to rank counts (3..2 plus jokers), then DFS with memoization on the count vector enumerating all valid Dou Dizhu plays (singles, pairs, tr</x:v>
      </x:c>
      <x:c r="T55" s="23" t="str">
        <x:v>runs/run_x9TrdvwNh7zDpLd</x:v>
      </x:c>
    </x:row>
    <x:row r="56" ht="25" customHeight="1">
      <x:c r="A56" s="23" t="str">
        <x:v>run_x9TrdvwNh7zDpLd:r001:repair</x:v>
      </x:c>
      <x:c r="B56" s="23" t="str">
        <x:v>run_x9TrdvwNh7zDpLd</x:v>
      </x:c>
      <x:c r="C56" s="23" t="str">
        <x:v>noip2015_senior_landlords</x:v>
      </x:c>
      <x:c r="D56" s="23" t="str">
        <x:v>斗地主</x:v>
      </x:c>
      <x:c r="E56" s="23" t="str">
        <x:v>提高</x:v>
      </x:c>
      <x:c r="F56" s="23" t="str">
        <x:v>repair</x:v>
      </x:c>
      <x:c r="G56" s="23" t="n">
        <x:v>1</x:v>
      </x:c>
      <x:c r="H56" s="23" t="str">
        <x:v>r001</x:v>
      </x:c>
      <x:c r="I56" s="23" t="str">
        <x:v>TLE</x:v>
      </x:c>
      <x:c r="J56" s="23" t="n">
        <x:v>18</x:v>
      </x:c>
      <x:c r="K56" s="23" t="n">
        <x:v>20</x:v>
      </x:c>
      <x:c r="L56" s="39" t="b">
        <x:v>0</x:v>
      </x:c>
      <x:c r="M56" s="39" t="b">
        <x:v>0</x:v>
      </x:c>
      <x:c r="N56" s="23"/>
      <x:c r="O56" s="23" t="str">
        <x:v>COMPLEXITY_TLE</x:v>
      </x:c>
      <x:c r="P56" s="55" t="n">
        <x:v>1</x:v>
      </x:c>
      <x:c r="Q56" s="39" t="b">
        <x:v>1</x:v>
      </x:c>
      <x:c r="R56" s="23"/>
      <x:c r="S56" s="58" t="str">
        <x:v>deterministic_judge_verdict=TLE | judge_failure_pattern=AC:18,TLE:2 | judge_exit_codes=0:18,137:2</x:v>
      </x:c>
      <x:c r="T56" s="23" t="str">
        <x:v>runs/run_x9TrdvwNh7zDpLd</x:v>
      </x:c>
    </x:row>
    <x:row r="57" ht="25" customHeight="1">
      <x:c r="A57" s="23" t="str">
        <x:v>run_x9TrdvwNh7zDpLd:r002:repair</x:v>
      </x:c>
      <x:c r="B57" s="23" t="str">
        <x:v>run_x9TrdvwNh7zDpLd</x:v>
      </x:c>
      <x:c r="C57" s="23" t="str">
        <x:v>noip2015_senior_landlords</x:v>
      </x:c>
      <x:c r="D57" s="23" t="str">
        <x:v>斗地主</x:v>
      </x:c>
      <x:c r="E57" s="23" t="str">
        <x:v>提高</x:v>
      </x:c>
      <x:c r="F57" s="23" t="str">
        <x:v>repair</x:v>
      </x:c>
      <x:c r="G57" s="23" t="n">
        <x:v>2</x:v>
      </x:c>
      <x:c r="H57" s="23" t="str">
        <x:v>r002</x:v>
      </x:c>
      <x:c r="I57" s="23" t="str">
        <x:v>AC</x:v>
      </x:c>
      <x:c r="J57" s="23" t="n">
        <x:v>20</x:v>
      </x:c>
      <x:c r="K57" s="23" t="n">
        <x:v>20</x:v>
      </x:c>
      <x:c r="L57" s="39" t="b">
        <x:v>1</x:v>
      </x:c>
      <x:c r="M57" s="39" t="b">
        <x:v>0</x:v>
      </x:c>
      <x:c r="N57" s="23"/>
      <x:c r="O57" s="23" t="str">
        <x:v>RESULT_CORRECT_PROCESS_INVALID</x:v>
      </x:c>
      <x:c r="P57" s="55" t="n">
        <x:v>0.9</x:v>
      </x:c>
      <x:c r="Q57" s="39" t="b">
        <x:v>1</x:v>
      </x:c>
      <x:c r="R57" s="23"/>
      <x:c r="S57" s="58" t="str">
        <x:v>algorithm_critic: Reference algorithm is memoized DFS over rank-count state with dominance pruning. Steps S1-S5 and S7 are logically sound, but S6 fails to generate triple-straight-with-attachments (airplane wings), a re</x:v>
      </x:c>
      <x:c r="T57" s="23" t="str">
        <x:v>runs/run_x9TrdvwNh7zDpLd</x:v>
      </x:c>
    </x:row>
    <x:row r="58" ht="25" customHeight="1">
      <x:c r="A58" s="23" t="str">
        <x:v>run_x9TrdvwNh7zDpLd:r003:repair</x:v>
      </x:c>
      <x:c r="B58" s="23" t="str">
        <x:v>run_x9TrdvwNh7zDpLd</x:v>
      </x:c>
      <x:c r="C58" s="23" t="str">
        <x:v>noip2015_senior_landlords</x:v>
      </x:c>
      <x:c r="D58" s="23" t="str">
        <x:v>斗地主</x:v>
      </x:c>
      <x:c r="E58" s="23" t="str">
        <x:v>提高</x:v>
      </x:c>
      <x:c r="F58" s="23" t="str">
        <x:v>repair</x:v>
      </x:c>
      <x:c r="G58" s="23" t="n">
        <x:v>3</x:v>
      </x:c>
      <x:c r="H58" s="23" t="str">
        <x:v>r003</x:v>
      </x:c>
      <x:c r="I58" s="23" t="str">
        <x:v>WA</x:v>
      </x:c>
      <x:c r="J58" s="23" t="n">
        <x:v>11</x:v>
      </x:c>
      <x:c r="K58" s="23" t="n">
        <x:v>20</x:v>
      </x:c>
      <x:c r="L58" s="39" t="b">
        <x:v>0</x:v>
      </x:c>
      <x:c r="M58" s="39" t="b">
        <x:v>0</x:v>
      </x:c>
      <x:c r="N58" s="23"/>
      <x:c r="O58" s="23" t="str">
        <x:v>IMPLEMENTATION_MISMATCH</x:v>
      </x:c>
      <x:c r="P58" s="55" t="n">
        <x:v>1</x:v>
      </x:c>
      <x:c r="Q58" s="39" t="b">
        <x:v>0</x:v>
      </x:c>
      <x:c r="R58" s="23"/>
      <x:c r="S58" s="58" t="str">
        <x:v>deterministic_judge_verdict=WA | judge_failure_pattern=AC:11,WA:9 | judge_exit_codes=0:20</x:v>
      </x:c>
      <x:c r="T58" s="23" t="str">
        <x:v>runs/run_x9TrdvwNh7zDpLd</x:v>
      </x:c>
    </x:row>
    <x:row r="59" ht="25" customHeight="1">
      <x:c r="A59" s="23" t="str">
        <x:v>run_x9TrdvwNh7zDpLd:r004:repair</x:v>
      </x:c>
      <x:c r="B59" s="23" t="str">
        <x:v>run_x9TrdvwNh7zDpLd</x:v>
      </x:c>
      <x:c r="C59" s="23" t="str">
        <x:v>noip2015_senior_landlords</x:v>
      </x:c>
      <x:c r="D59" s="23" t="str">
        <x:v>斗地主</x:v>
      </x:c>
      <x:c r="E59" s="23" t="str">
        <x:v>提高</x:v>
      </x:c>
      <x:c r="F59" s="23" t="str">
        <x:v>repair</x:v>
      </x:c>
      <x:c r="G59" s="23" t="n">
        <x:v>4</x:v>
      </x:c>
      <x:c r="H59" s="23" t="str">
        <x:v>r004</x:v>
      </x:c>
      <x:c r="I59" s="23" t="str">
        <x:v>WA</x:v>
      </x:c>
      <x:c r="J59" s="23" t="n">
        <x:v>11</x:v>
      </x:c>
      <x:c r="K59" s="23" t="n">
        <x:v>20</x:v>
      </x:c>
      <x:c r="L59" s="39" t="b">
        <x:v>0</x:v>
      </x:c>
      <x:c r="M59" s="39" t="b">
        <x:v>0</x:v>
      </x:c>
      <x:c r="N59" s="23"/>
      <x:c r="O59" s="23" t="str">
        <x:v>IMPLEMENTATION_MISMATCH</x:v>
      </x:c>
      <x:c r="P59" s="55" t="n">
        <x:v>1</x:v>
      </x:c>
      <x:c r="Q59" s="39" t="b">
        <x:v>0</x:v>
      </x:c>
      <x:c r="R59" s="23"/>
      <x:c r="S59" s="58" t="str">
        <x:v>deterministic_judge_verdict=WA | judge_failure_pattern=AC:11,WA:9 | judge_exit_codes=0:20</x:v>
      </x:c>
      <x:c r="T59" s="23" t="str">
        <x:v>runs/run_x9TrdvwNh7zDpLd</x:v>
      </x:c>
    </x:row>
    <x:row r="60" ht="25" customHeight="1">
      <x:c r="A60" s="23" t="str">
        <x:v>run_RZhgOq4sIca4uq9E:r000:initial</x:v>
      </x:c>
      <x:c r="B60" s="23" t="str">
        <x:v>run_RZhgOq4sIca4uq9E</x:v>
      </x:c>
      <x:c r="C60" s="23" t="str">
        <x:v>csps2021_senior_traffic</x:v>
      </x:c>
      <x:c r="D60" s="23" t="str">
        <x:v>交通规划</x:v>
      </x:c>
      <x:c r="E60" s="23" t="str">
        <x:v>省选/NOI−</x:v>
      </x:c>
      <x:c r="F60" s="23" t="str">
        <x:v>initial</x:v>
      </x:c>
      <x:c r="G60" s="23" t="n">
        <x:v>0</x:v>
      </x:c>
      <x:c r="H60" s="23" t="str">
        <x:v>r000</x:v>
      </x:c>
      <x:c r="I60" s="23" t="str">
        <x:v>TLE</x:v>
      </x:c>
      <x:c r="J60" s="23" t="n">
        <x:v>12</x:v>
      </x:c>
      <x:c r="K60" s="23" t="n">
        <x:v>20</x:v>
      </x:c>
      <x:c r="L60" s="39" t="b">
        <x:v>0</x:v>
      </x:c>
      <x:c r="M60" s="39" t="b">
        <x:v>0</x:v>
      </x:c>
      <x:c r="N60" s="23"/>
      <x:c r="O60" s="23" t="str">
        <x:v>COMPLEXITY_TLE</x:v>
      </x:c>
      <x:c r="P60" s="55" t="n">
        <x:v>1</x:v>
      </x:c>
      <x:c r="Q60" s="23"/>
      <x:c r="R60" s="23"/>
      <x:c r="S60" s="58" t="str">
        <x:v>deterministic_judge_verdict=TLE | judge_failure_pattern=AC:12,TLE:8 | judge_exit_codes=0:12,137:8</x:v>
      </x:c>
      <x:c r="T60" s="23" t="str">
        <x:v>runs/run_RZhgOq4sIca4uq9E</x:v>
      </x:c>
    </x:row>
    <x:row r="61" ht="25" customHeight="1">
      <x:c r="A61" s="23" t="str">
        <x:v>run_RZhgOq4sIca4uq9E:r001:repair</x:v>
      </x:c>
      <x:c r="B61" s="23" t="str">
        <x:v>run_RZhgOq4sIca4uq9E</x:v>
      </x:c>
      <x:c r="C61" s="23" t="str">
        <x:v>csps2021_senior_traffic</x:v>
      </x:c>
      <x:c r="D61" s="23" t="str">
        <x:v>交通规划</x:v>
      </x:c>
      <x:c r="E61" s="23" t="str">
        <x:v>省选/NOI−</x:v>
      </x:c>
      <x:c r="F61" s="23" t="str">
        <x:v>repair</x:v>
      </x:c>
      <x:c r="G61" s="23" t="n">
        <x:v>1</x:v>
      </x:c>
      <x:c r="H61" s="23" t="str">
        <x:v>r001</x:v>
      </x:c>
      <x:c r="I61" s="23" t="str">
        <x:v>TLE</x:v>
      </x:c>
      <x:c r="J61" s="23" t="n">
        <x:v>0</x:v>
      </x:c>
      <x:c r="K61" s="23" t="n">
        <x:v>20</x:v>
      </x:c>
      <x:c r="L61" s="39" t="b">
        <x:v>0</x:v>
      </x:c>
      <x:c r="M61" s="39" t="b">
        <x:v>0</x:v>
      </x:c>
      <x:c r="N61" s="23"/>
      <x:c r="O61" s="23" t="str">
        <x:v>COMPLEXITY_TLE</x:v>
      </x:c>
      <x:c r="P61" s="55" t="n">
        <x:v>1</x:v>
      </x:c>
      <x:c r="Q61" s="39" t="b">
        <x:v>0</x:v>
      </x:c>
      <x:c r="R61" s="23"/>
      <x:c r="S61" s="58" t="str">
        <x:v>deterministic_judge_verdict=TLE | judge_failure_pattern=TLE:2,WA:18 | judge_exit_codes=0:18,137:2</x:v>
      </x:c>
      <x:c r="T61" s="23" t="str">
        <x:v>runs/run_RZhgOq4sIca4uq9E</x:v>
      </x:c>
    </x:row>
    <x:row r="62" ht="25" customHeight="1">
      <x:c r="A62" s="23" t="str">
        <x:v>run_RZhgOq4sIca4uq9E:r002:repair</x:v>
      </x:c>
      <x:c r="B62" s="23" t="str">
        <x:v>run_RZhgOq4sIca4uq9E</x:v>
      </x:c>
      <x:c r="C62" s="23" t="str">
        <x:v>csps2021_senior_traffic</x:v>
      </x:c>
      <x:c r="D62" s="23" t="str">
        <x:v>交通规划</x:v>
      </x:c>
      <x:c r="E62" s="23" t="str">
        <x:v>省选/NOI−</x:v>
      </x:c>
      <x:c r="F62" s="23" t="str">
        <x:v>repair</x:v>
      </x:c>
      <x:c r="G62" s="23" t="n">
        <x:v>2</x:v>
      </x:c>
      <x:c r="H62" s="23" t="str">
        <x:v>r002</x:v>
      </x:c>
      <x:c r="I62" s="23" t="str">
        <x:v>TLE</x:v>
      </x:c>
      <x:c r="J62" s="23" t="n">
        <x:v>0</x:v>
      </x:c>
      <x:c r="K62" s="23" t="n">
        <x:v>20</x:v>
      </x:c>
      <x:c r="L62" s="39" t="b">
        <x:v>0</x:v>
      </x:c>
      <x:c r="M62" s="39" t="b">
        <x:v>0</x:v>
      </x:c>
      <x:c r="N62" s="23"/>
      <x:c r="O62" s="23" t="str">
        <x:v>COMPLEXITY_TLE</x:v>
      </x:c>
      <x:c r="P62" s="55" t="n">
        <x:v>1</x:v>
      </x:c>
      <x:c r="Q62" s="39" t="b">
        <x:v>0</x:v>
      </x:c>
      <x:c r="R62" s="23"/>
      <x:c r="S62" s="58" t="str">
        <x:v>deterministic_judge_verdict=TLE | judge_failure_pattern=TLE:8,WA:12 | judge_exit_codes=0:12,137:8</x:v>
      </x:c>
      <x:c r="T62" s="23" t="str">
        <x:v>runs/run_RZhgOq4sIca4uq9E</x:v>
      </x:c>
    </x:row>
    <x:row r="63" ht="25" customHeight="1">
      <x:c r="A63" s="23" t="str">
        <x:v>run_h8aOaqaYevsrDVh2:r000:initial</x:v>
      </x:c>
      <x:c r="B63" s="23" t="str">
        <x:v>run_h8aOaqaYevsrDVh2</x:v>
      </x:c>
      <x:c r="C63" s="23" t="str">
        <x:v>noip2016_senior_running</x:v>
      </x:c>
      <x:c r="D63" s="23" t="str">
        <x:v>天天爱跑步</x:v>
      </x:c>
      <x:c r="E63" s="23" t="str">
        <x:v>省选/NOI−</x:v>
      </x:c>
      <x:c r="F63" s="23" t="str">
        <x:v>initial</x:v>
      </x:c>
      <x:c r="G63" s="23" t="n">
        <x:v>0</x:v>
      </x:c>
      <x:c r="H63" s="23" t="str">
        <x:v>r000</x:v>
      </x:c>
      <x:c r="I63" s="23" t="str">
        <x:v>AC</x:v>
      </x:c>
      <x:c r="J63" s="23" t="n">
        <x:v>20</x:v>
      </x:c>
      <x:c r="K63" s="23" t="n">
        <x:v>20</x:v>
      </x:c>
      <x:c r="L63" s="39" t="b">
        <x:v>1</x:v>
      </x:c>
      <x:c r="M63" s="39" t="b">
        <x:v>0</x:v>
      </x:c>
      <x:c r="N63" s="23"/>
      <x:c r="O63" s="23" t="str">
        <x:v>RESULT_CORRECT_PROCESS_INVALID</x:v>
      </x:c>
      <x:c r="P63" s="55" t="n">
        <x:v>0.9</x:v>
      </x:c>
      <x:c r="Q63" s="23"/>
      <x:c r="R63" s="23"/>
      <x:c r="S63" s="58" t="str">
        <x:v>algorithm_critic: Reference algorithm reconstructed: root tree at 1, compute depths and binary-lifting LCA. For each player (s,t) with LCA L, split path: ascending part s-&gt;L uses bucket1 key dep[s] with +1 at s and -1 at</x:v>
      </x:c>
      <x:c r="T63" s="23" t="str">
        <x:v>runs/run_h8aOaqaYevsrDVh2</x:v>
      </x:c>
    </x:row>
    <x:row r="64" ht="25" customHeight="1">
      <x:c r="A64" s="23" t="str">
        <x:v>run_AIB1sepiUBYipqs6:r000:initial</x:v>
      </x:c>
      <x:c r="B64" s="23" t="str">
        <x:v>run_AIB1sepiUBYipqs6</x:v>
      </x:c>
      <x:c r="C64" s="23" t="str">
        <x:v>csps2024_senior_color</x:v>
      </x:c>
      <x:c r="D64" s="23" t="str">
        <x:v>染色</x:v>
      </x:c>
      <x:c r="E64" s="23" t="str">
        <x:v>提高</x:v>
      </x:c>
      <x:c r="F64" s="23" t="str">
        <x:v>initial</x:v>
      </x:c>
      <x:c r="G64" s="23" t="n">
        <x:v>0</x:v>
      </x:c>
      <x:c r="H64" s="23" t="str">
        <x:v>r000</x:v>
      </x:c>
      <x:c r="I64" s="23" t="str">
        <x:v>AC</x:v>
      </x:c>
      <x:c r="J64" s="23" t="n">
        <x:v>20</x:v>
      </x:c>
      <x:c r="K64" s="23" t="n">
        <x:v>20</x:v>
      </x:c>
      <x:c r="L64" s="39" t="b">
        <x:v>1</x:v>
      </x:c>
      <x:c r="M64" s="39" t="b">
        <x:v>0</x:v>
      </x:c>
      <x:c r="N64" s="23"/>
      <x:c r="O64" s="23" t="str">
        <x:v>RESULT_CORRECT_PROCESS_INVALID</x:v>
      </x:c>
      <x:c r="P64" s="55" t="n">
        <x:v>0.9</x:v>
      </x:c>
      <x:c r="Q64" s="23"/>
      <x:c r="R64" s="23"/>
      <x:c r="S64" s="58" t="str">
        <x:v>algorithm_critic: Reconstructed reference: process left to right, fix first element red by symmetry. State after i is L = value of most recent opposite-color element (0 if none), with current color's last value = A_i. DP</x:v>
      </x:c>
      <x:c r="T64" s="23" t="str">
        <x:v>runs/run_AIB1sepiUBYipqs6</x:v>
      </x:c>
    </x:row>
    <x:row r="65" ht="25" customHeight="1">
      <x:c r="A65" s="23" t="str">
        <x:v>run_vMxdYTby7QvXz0y:r000:initial</x:v>
      </x:c>
      <x:c r="B65" s="23" t="str">
        <x:v>run_vMxdYTby7QvXz0y</x:v>
      </x:c>
      <x:c r="C65" s="23" t="str">
        <x:v>road</x:v>
      </x:c>
      <x:c r="D65" s="23" t="str">
        <x:v>铺设道路</x:v>
      </x:c>
      <x:c r="E65" s="23" t="str">
        <x:v>普及</x:v>
      </x:c>
      <x:c r="F65" s="23" t="str">
        <x:v>initial</x:v>
      </x:c>
      <x:c r="G65" s="23" t="n">
        <x:v>0</x:v>
      </x:c>
      <x:c r="H65" s="23" t="str">
        <x:v>r000</x:v>
      </x:c>
      <x:c r="I65" s="23" t="str">
        <x:v>AC</x:v>
      </x:c>
      <x:c r="J65" s="23" t="n">
        <x:v>10</x:v>
      </x:c>
      <x:c r="K65" s="23" t="n">
        <x:v>10</x:v>
      </x:c>
      <x:c r="L65" s="39" t="b">
        <x:v>1</x:v>
      </x:c>
      <x:c r="M65" s="39" t="b">
        <x:v>0</x:v>
      </x:c>
      <x:c r="N65" s="23"/>
      <x:c r="O65" s="23" t="str">
        <x:v>RESULT_CORRECT_PROCESS_INVALID</x:v>
      </x:c>
      <x:c r="P65" s="55" t="n">
        <x:v>0.9</x:v>
      </x:c>
      <x:c r="Q65" s="23"/>
      <x:c r="R65" s="23"/>
      <x:c r="S65" s="58" t="str">
        <x:v>algorithm_critic: Reference algorithm: ans = sum_{i=1..n} max(0, d_i - d_{i-1}) with d_0=0, computed by one left-to-right pass. All steps S1-S6 are correct: problem interpreted faithfully, proof via difference lower boun</x:v>
      </x:c>
      <x:c r="T65" s="23" t="str">
        <x:v>runs/run_vMxdYTby7QvXz0y</x:v>
      </x:c>
    </x:row>
    <x:row r="66" ht="25" customHeight="1">
      <x:c r="A66" s="23" t="str">
        <x:v>run_sSpjunh6rWVHSBmV:r000:initial</x:v>
      </x:c>
      <x:c r="B66" s="23" t="str">
        <x:v>run_sSpjunh6rWVHSBmV</x:v>
      </x:c>
      <x:c r="C66" s="23" t="str">
        <x:v>csps2019_senior_tree</x:v>
      </x:c>
      <x:c r="D66" s="23" t="str">
        <x:v>树上的数</x:v>
      </x:c>
      <x:c r="E66" s="23" t="str">
        <x:v>NOI/NOI+/CTS</x:v>
      </x:c>
      <x:c r="F66" s="23" t="str">
        <x:v>initial</x:v>
      </x:c>
      <x:c r="G66" s="23" t="n">
        <x:v>0</x:v>
      </x:c>
      <x:c r="H66" s="23" t="str">
        <x:v>r000</x:v>
      </x:c>
      <x:c r="I66" s="23" t="str">
        <x:v>TLE</x:v>
      </x:c>
      <x:c r="J66" s="23" t="n">
        <x:v>0</x:v>
      </x:c>
      <x:c r="K66" s="23" t="n">
        <x:v>20</x:v>
      </x:c>
      <x:c r="L66" s="39" t="b">
        <x:v>0</x:v>
      </x:c>
      <x:c r="M66" s="39" t="b">
        <x:v>0</x:v>
      </x:c>
      <x:c r="N66" s="23"/>
      <x:c r="O66" s="23" t="str">
        <x:v>COMPLEXITY_TLE</x:v>
      </x:c>
      <x:c r="P66" s="55" t="n">
        <x:v>1</x:v>
      </x:c>
      <x:c r="Q66" s="23"/>
      <x:c r="R66" s="23"/>
      <x:c r="S66" s="58" t="str">
        <x:v>deterministic_judge_verdict=TLE | judge_failure_pattern=TLE:10,WA:10 | judge_exit_codes=0:10,137:10</x:v>
      </x:c>
      <x:c r="T66" s="23" t="str">
        <x:v>runs/run_sSpjunh6rWVHSBmV</x:v>
      </x:c>
    </x:row>
    <x:row r="67" ht="25" customHeight="1">
      <x:c r="A67" s="23" t="str">
        <x:v>run_sSpjunh6rWVHSBmV:r001:repair</x:v>
      </x:c>
      <x:c r="B67" s="23" t="str">
        <x:v>run_sSpjunh6rWVHSBmV</x:v>
      </x:c>
      <x:c r="C67" s="23" t="str">
        <x:v>csps2019_senior_tree</x:v>
      </x:c>
      <x:c r="D67" s="23" t="str">
        <x:v>树上的数</x:v>
      </x:c>
      <x:c r="E67" s="23" t="str">
        <x:v>NOI/NOI+/CTS</x:v>
      </x:c>
      <x:c r="F67" s="23" t="str">
        <x:v>repair</x:v>
      </x:c>
      <x:c r="G67" s="23" t="n">
        <x:v>1</x:v>
      </x:c>
      <x:c r="H67" s="23" t="str">
        <x:v>r001</x:v>
      </x:c>
      <x:c r="I67" s="23" t="str">
        <x:v>TLE</x:v>
      </x:c>
      <x:c r="J67" s="23" t="n">
        <x:v>0</x:v>
      </x:c>
      <x:c r="K67" s="23" t="n">
        <x:v>20</x:v>
      </x:c>
      <x:c r="L67" s="39" t="b">
        <x:v>0</x:v>
      </x:c>
      <x:c r="M67" s="39" t="b">
        <x:v>0</x:v>
      </x:c>
      <x:c r="N67" s="23"/>
      <x:c r="O67" s="23" t="str">
        <x:v>COMPLEXITY_TLE</x:v>
      </x:c>
      <x:c r="P67" s="55" t="n">
        <x:v>1</x:v>
      </x:c>
      <x:c r="Q67" s="39" t="b">
        <x:v>0</x:v>
      </x:c>
      <x:c r="R67" s="23"/>
      <x:c r="S67" s="58" t="str">
        <x:v>deterministic_judge_verdict=TLE | judge_failure_pattern=TLE:10,WA:10 | judge_exit_codes=0:10,137:10</x:v>
      </x:c>
      <x:c r="T67" s="23" t="str">
        <x:v>runs/run_sSpjunh6rWVHSBmV</x:v>
      </x:c>
    </x:row>
    <x:row r="68" ht="25" customHeight="1">
      <x:c r="A68" s="23" t="str">
        <x:v>run_sSpjunh6rWVHSBmV:r002:repair</x:v>
      </x:c>
      <x:c r="B68" s="23" t="str">
        <x:v>run_sSpjunh6rWVHSBmV</x:v>
      </x:c>
      <x:c r="C68" s="23" t="str">
        <x:v>csps2019_senior_tree</x:v>
      </x:c>
      <x:c r="D68" s="23" t="str">
        <x:v>树上的数</x:v>
      </x:c>
      <x:c r="E68" s="23" t="str">
        <x:v>NOI/NOI+/CTS</x:v>
      </x:c>
      <x:c r="F68" s="23" t="str">
        <x:v>repair</x:v>
      </x:c>
      <x:c r="G68" s="23" t="n">
        <x:v>2</x:v>
      </x:c>
      <x:c r="H68" s="23" t="str">
        <x:v>r002</x:v>
      </x:c>
      <x:c r="I68" s="23" t="str">
        <x:v>TLE</x:v>
      </x:c>
      <x:c r="J68" s="23" t="n">
        <x:v>0</x:v>
      </x:c>
      <x:c r="K68" s="23" t="n">
        <x:v>20</x:v>
      </x:c>
      <x:c r="L68" s="39" t="b">
        <x:v>0</x:v>
      </x:c>
      <x:c r="M68" s="39" t="b">
        <x:v>0</x:v>
      </x:c>
      <x:c r="N68" s="23"/>
      <x:c r="O68" s="23" t="str">
        <x:v>COMPLEXITY_TLE</x:v>
      </x:c>
      <x:c r="P68" s="55" t="n">
        <x:v>1</x:v>
      </x:c>
      <x:c r="Q68" s="39" t="b">
        <x:v>0</x:v>
      </x:c>
      <x:c r="R68" s="23"/>
      <x:c r="S68" s="58" t="str">
        <x:v>deterministic_judge_verdict=TLE | judge_failure_pattern=TLE:10,WA:10 | judge_exit_codes=0:10,137:10</x:v>
      </x:c>
      <x:c r="T68" s="23" t="str">
        <x:v>runs/run_sSpjunh6rWVHSBmV</x:v>
      </x:c>
    </x:row>
    <x:row r="69" ht="25" customHeight="1">
      <x:c r="A69" s="23" t="str">
        <x:v>run_Uzytk8n4cDblWHh:r000:initial</x:v>
      </x:c>
      <x:c r="B69" s="23" t="str">
        <x:v>run_Uzytk8n4cDblWHh</x:v>
      </x:c>
      <x:c r="C69" s="23" t="str">
        <x:v>road</x:v>
      </x:c>
      <x:c r="D69" s="23" t="str">
        <x:v>铺设道路</x:v>
      </x:c>
      <x:c r="E69" s="23" t="str">
        <x:v>普及</x:v>
      </x:c>
      <x:c r="F69" s="23" t="str">
        <x:v>initial</x:v>
      </x:c>
      <x:c r="G69" s="23" t="n">
        <x:v>0</x:v>
      </x:c>
      <x:c r="H69" s="23" t="str">
        <x:v>r000</x:v>
      </x:c>
      <x:c r="I69" s="23" t="str">
        <x:v>AC</x:v>
      </x:c>
      <x:c r="J69" s="23" t="n">
        <x:v>10</x:v>
      </x:c>
      <x:c r="K69" s="23" t="n">
        <x:v>10</x:v>
      </x:c>
      <x:c r="L69" s="39" t="b">
        <x:v>1</x:v>
      </x:c>
      <x:c r="M69" s="39" t="b">
        <x:v>0</x:v>
      </x:c>
      <x:c r="N69" s="23" t="str">
        <x:v>S3</x:v>
      </x:c>
      <x:c r="O69" s="23" t="str">
        <x:v>RESULT_CORRECT_PROCESS_INVALID</x:v>
      </x:c>
      <x:c r="P69" s="55" t="n">
        <x:v>1</x:v>
      </x:c>
      <x:c r="Q69" s="23"/>
      <x:c r="R69" s="23"/>
      <x:c r="S69" s="58" t="str">
        <x:v>Invariant 'Total positive difference sum is monotonic per operation' is false: for d=[2,1,1] (d0=0) positive sum=2; operation on [2,2] yields d=[2,0,1], diff positive sum=3, an increase. | judge_failure_pattern=AC:10 | j</x:v>
      </x:c>
      <x:c r="T69" s="23" t="str">
        <x:v>runs/run_Uzytk8n4cDblWHh</x:v>
      </x:c>
    </x:row>
    <x:row r="70" ht="25" customHeight="1">
      <x:c r="A70" s="23" t="str">
        <x:v>run_Uzytk8n4cDblWHh:r001:repair</x:v>
      </x:c>
      <x:c r="B70" s="23" t="str">
        <x:v>run_Uzytk8n4cDblWHh</x:v>
      </x:c>
      <x:c r="C70" s="23" t="str">
        <x:v>road</x:v>
      </x:c>
      <x:c r="D70" s="23" t="str">
        <x:v>铺设道路</x:v>
      </x:c>
      <x:c r="E70" s="23" t="str">
        <x:v>普及</x:v>
      </x:c>
      <x:c r="F70" s="23" t="str">
        <x:v>repair</x:v>
      </x:c>
      <x:c r="G70" s="23" t="n">
        <x:v>1</x:v>
      </x:c>
      <x:c r="H70" s="23" t="str">
        <x:v>r001</x:v>
      </x:c>
      <x:c r="I70" s="23" t="str">
        <x:v>AC</x:v>
      </x:c>
      <x:c r="J70" s="23" t="n">
        <x:v>10</x:v>
      </x:c>
      <x:c r="K70" s="23" t="n">
        <x:v>10</x:v>
      </x:c>
      <x:c r="L70" s="39" t="b">
        <x:v>1</x:v>
      </x:c>
      <x:c r="M70" s="39" t="b">
        <x:v>1</x:v>
      </x:c>
      <x:c r="N70" s="23"/>
      <x:c r="O70" s="23" t="str">
        <x:v>UNRESOLVED</x:v>
      </x:c>
      <x:c r="P70" s="55" t="n">
        <x:v>0.9</x:v>
      </x:c>
      <x:c r="Q70" s="39" t="b">
        <x:v>1</x:v>
      </x:c>
      <x:c r="R70" s="23"/>
      <x:c r="S70" s="58" t="str">
        <x:v>algorithm_critic: Reference algorithm: answer = sum_i max(0, d_i - d_{i-1}) with d_0=0, proven via lower bound and constructive high-to-low level filling. All six steps are mathematically sound, complexity O(n) time O(1)</x:v>
      </x:c>
      <x:c r="T70" s="23" t="str">
        <x:v>runs/run_Uzytk8n4cDblWHh</x:v>
      </x:c>
    </x:row>
    <x:row r="71" ht="25" customHeight="1">
      <x:c r="A71" s="23" t="str">
        <x:v>run_Uqj8Z6xbzUlhxkkF:r000:initial</x:v>
      </x:c>
      <x:c r="B71" s="23" t="str">
        <x:v>run_Uqj8Z6xbzUlhxkkF</x:v>
      </x:c>
      <x:c r="C71" s="23" t="str">
        <x:v>defense</x:v>
      </x:c>
      <x:c r="D71" s="23" t="str">
        <x:v>保卫王国</x:v>
      </x:c>
      <x:c r="E71" s="23" t="str">
        <x:v>省选/NOI−</x:v>
      </x:c>
      <x:c r="F71" s="23" t="str">
        <x:v>initial</x:v>
      </x:c>
      <x:c r="G71" s="23" t="n">
        <x:v>0</x:v>
      </x:c>
      <x:c r="H71" s="23" t="str">
        <x:v>r000</x:v>
      </x:c>
      <x:c r="I71" s="23" t="str">
        <x:v>TLE</x:v>
      </x:c>
      <x:c r="J71" s="23" t="n">
        <x:v>0</x:v>
      </x:c>
      <x:c r="K71" s="23" t="n">
        <x:v>25</x:v>
      </x:c>
      <x:c r="L71" s="39" t="b">
        <x:v>0</x:v>
      </x:c>
      <x:c r="M71" s="39" t="b">
        <x:v>0</x:v>
      </x:c>
      <x:c r="N71" s="23"/>
      <x:c r="O71" s="23" t="str">
        <x:v>COMPLEXITY_TLE</x:v>
      </x:c>
      <x:c r="P71" s="55" t="n">
        <x:v>1</x:v>
      </x:c>
      <x:c r="Q71" s="23"/>
      <x:c r="R71" s="23"/>
      <x:c r="S71" s="58" t="str">
        <x:v>deterministic_judge_verdict=TLE | judge_failure_pattern=TLE:25 | judge_exit_codes=137:25</x:v>
      </x:c>
      <x:c r="T71" s="23" t="str">
        <x:v>runs/run_Uqj8Z6xbzUlhxkkF</x:v>
      </x:c>
    </x:row>
    <x:row r="72" ht="25" customHeight="1">
      <x:c r="A72" s="23" t="str">
        <x:v>run_Uqj8Z6xbzUlhxkkF:r001:repair</x:v>
      </x:c>
      <x:c r="B72" s="23" t="str">
        <x:v>run_Uqj8Z6xbzUlhxkkF</x:v>
      </x:c>
      <x:c r="C72" s="23" t="str">
        <x:v>defense</x:v>
      </x:c>
      <x:c r="D72" s="23" t="str">
        <x:v>保卫王国</x:v>
      </x:c>
      <x:c r="E72" s="23" t="str">
        <x:v>省选/NOI−</x:v>
      </x:c>
      <x:c r="F72" s="23" t="str">
        <x:v>repair</x:v>
      </x:c>
      <x:c r="G72" s="23" t="n">
        <x:v>1</x:v>
      </x:c>
      <x:c r="H72" s="23" t="str">
        <x:v>r001</x:v>
      </x:c>
      <x:c r="I72" s="23" t="str">
        <x:v>WA</x:v>
      </x:c>
      <x:c r="J72" s="23" t="n">
        <x:v>15</x:v>
      </x:c>
      <x:c r="K72" s="23" t="n">
        <x:v>25</x:v>
      </x:c>
      <x:c r="L72" s="39" t="b">
        <x:v>0</x:v>
      </x:c>
      <x:c r="M72" s="39" t="b">
        <x:v>0</x:v>
      </x:c>
      <x:c r="N72" s="23"/>
      <x:c r="O72" s="23" t="str">
        <x:v>IMPLEMENTATION_MISMATCH</x:v>
      </x:c>
      <x:c r="P72" s="55" t="n">
        <x:v>1</x:v>
      </x:c>
      <x:c r="Q72" s="39" t="b">
        <x:v>1</x:v>
      </x:c>
      <x:c r="R72" s="23"/>
      <x:c r="S72" s="58" t="str">
        <x:v>deterministic_judge_verdict=WA | judge_failure_pattern=AC:15,WA:10 | judge_exit_codes=0:25</x:v>
      </x:c>
      <x:c r="T72" s="23" t="str">
        <x:v>runs/run_Uqj8Z6xbzUlhxkkF</x:v>
      </x:c>
    </x:row>
    <x:row r="73" ht="25" customHeight="1">
      <x:c r="A73" s="23" t="str">
        <x:v>run_Uqj8Z6xbzUlhxkkF:r002:repair</x:v>
      </x:c>
      <x:c r="B73" s="23" t="str">
        <x:v>run_Uqj8Z6xbzUlhxkkF</x:v>
      </x:c>
      <x:c r="C73" s="23" t="str">
        <x:v>defense</x:v>
      </x:c>
      <x:c r="D73" s="23" t="str">
        <x:v>保卫王国</x:v>
      </x:c>
      <x:c r="E73" s="23" t="str">
        <x:v>省选/NOI−</x:v>
      </x:c>
      <x:c r="F73" s="23" t="str">
        <x:v>repair</x:v>
      </x:c>
      <x:c r="G73" s="23" t="n">
        <x:v>2</x:v>
      </x:c>
      <x:c r="H73" s="23" t="str">
        <x:v>r002</x:v>
      </x:c>
      <x:c r="I73" s="23" t="str">
        <x:v>WA</x:v>
      </x:c>
      <x:c r="J73" s="23" t="n">
        <x:v>15</x:v>
      </x:c>
      <x:c r="K73" s="23" t="n">
        <x:v>25</x:v>
      </x:c>
      <x:c r="L73" s="39" t="b">
        <x:v>0</x:v>
      </x:c>
      <x:c r="M73" s="39" t="b">
        <x:v>0</x:v>
      </x:c>
      <x:c r="N73" s="23"/>
      <x:c r="O73" s="23" t="str">
        <x:v>IMPLEMENTATION_MISMATCH</x:v>
      </x:c>
      <x:c r="P73" s="55" t="n">
        <x:v>1</x:v>
      </x:c>
      <x:c r="Q73" s="39" t="b">
        <x:v>0</x:v>
      </x:c>
      <x:c r="R73" s="23"/>
      <x:c r="S73" s="58" t="str">
        <x:v>deterministic_judge_verdict=WA | judge_failure_pattern=AC:15,WA:10 | judge_exit_codes=0:25</x:v>
      </x:c>
      <x:c r="T73" s="23" t="str">
        <x:v>runs/run_Uqj8Z6xbzUlhxkkF</x:v>
      </x:c>
    </x:row>
    <x:row r="74" ht="25" customHeight="1">
      <x:c r="A74" s="23" t="str">
        <x:v>run_Uqj8Z6xbzUlhxkkF:r003:repair</x:v>
      </x:c>
      <x:c r="B74" s="23" t="str">
        <x:v>run_Uqj8Z6xbzUlhxkkF</x:v>
      </x:c>
      <x:c r="C74" s="23" t="str">
        <x:v>defense</x:v>
      </x:c>
      <x:c r="D74" s="23" t="str">
        <x:v>保卫王国</x:v>
      </x:c>
      <x:c r="E74" s="23" t="str">
        <x:v>省选/NOI−</x:v>
      </x:c>
      <x:c r="F74" s="23" t="str">
        <x:v>repair</x:v>
      </x:c>
      <x:c r="G74" s="23" t="n">
        <x:v>3</x:v>
      </x:c>
      <x:c r="H74" s="23" t="str">
        <x:v>r003</x:v>
      </x:c>
      <x:c r="I74" s="23" t="str">
        <x:v>WA</x:v>
      </x:c>
      <x:c r="J74" s="23" t="n">
        <x:v>21</x:v>
      </x:c>
      <x:c r="K74" s="23" t="n">
        <x:v>25</x:v>
      </x:c>
      <x:c r="L74" s="39" t="b">
        <x:v>0</x:v>
      </x:c>
      <x:c r="M74" s="39" t="b">
        <x:v>0</x:v>
      </x:c>
      <x:c r="N74" s="23" t="str">
        <x:v>S7</x:v>
      </x:c>
      <x:c r="O74" s="23" t="str">
        <x:v>IMPLEMENTATION_MISMATCH</x:v>
      </x:c>
      <x:c r="P74" s="55" t="n">
        <x:v>0.9</x:v>
      </x:c>
      <x:c r="Q74" s="39" t="b">
        <x:v>1</x:v>
      </x:c>
      <x:c r="R74" s="23"/>
      <x:c r="S74" s="58" t="str">
        <x:v>deterministic_judge_verdict=WA | judge_failure_pattern=AC:21,WA:4 | judge_exit_codes=0:25</x:v>
      </x:c>
      <x:c r="T74" s="23" t="str">
        <x:v>runs/run_Uqj8Z6xbzUlhxkkF</x:v>
      </x:c>
    </x:row>
    <x:row r="75" ht="25" customHeight="1">
      <x:c r="A75" s="23" t="str">
        <x:v>run_i1nHsivyYsMJAGAf:r000:initial</x:v>
      </x:c>
      <x:c r="B75" s="23" t="str">
        <x:v>run_i1nHsivyYsMJAGAf</x:v>
      </x:c>
      <x:c r="C75" s="23" t="str">
        <x:v>csps2019_senior_tree</x:v>
      </x:c>
      <x:c r="D75" s="23" t="str">
        <x:v>树上的数</x:v>
      </x:c>
      <x:c r="E75" s="23" t="str">
        <x:v>NOI/NOI+/CTS</x:v>
      </x:c>
      <x:c r="F75" s="23" t="str">
        <x:v>initial</x:v>
      </x:c>
      <x:c r="G75" s="23" t="n">
        <x:v>0</x:v>
      </x:c>
      <x:c r="H75" s="23" t="str">
        <x:v>r000</x:v>
      </x:c>
      <x:c r="I75" s="23"/>
      <x:c r="J75" s="23"/>
      <x:c r="K75" s="23"/>
      <x:c r="L75" s="39" t="b">
        <x:v>0</x:v>
      </x:c>
      <x:c r="M75" s="39" t="b">
        <x:v>0</x:v>
      </x:c>
      <x:c r="N75" s="23"/>
      <x:c r="O75" s="23" t="str">
        <x:v>COMPILE_ERROR</x:v>
      </x:c>
      <x:c r="P75" s="55" t="n">
        <x:v>1</x:v>
      </x:c>
      <x:c r="Q75" s="23"/>
      <x:c r="R75" s="23"/>
      <x:c r="S75" s="58" t="str">
        <x:v>deterministic_judge_verdict=CE | algorithm_critic: Model review deferred until public validation passes. | code_critic: Model review deferred until public validation passes.</x:v>
      </x:c>
      <x:c r="T75" s="23" t="str">
        <x:v>runs/run_i1nHsivyYsMJAGAf</x:v>
      </x:c>
    </x:row>
    <x:row r="76" ht="25" customHeight="1">
      <x:c r="A76" s="23" t="str">
        <x:v>run_i1nHsivyYsMJAGAf:r001:proof_001</x:v>
      </x:c>
      <x:c r="B76" s="23" t="str">
        <x:v>run_i1nHsivyYsMJAGAf</x:v>
      </x:c>
      <x:c r="C76" s="23" t="str">
        <x:v>csps2019_senior_tree</x:v>
      </x:c>
      <x:c r="D76" s="23" t="str">
        <x:v>树上的数</x:v>
      </x:c>
      <x:c r="E76" s="23" t="str">
        <x:v>NOI/NOI+/CTS</x:v>
      </x:c>
      <x:c r="F76" s="23" t="str">
        <x:v>repair</x:v>
      </x:c>
      <x:c r="G76" s="23" t="n">
        <x:v>1</x:v>
      </x:c>
      <x:c r="H76" s="23" t="str">
        <x:v>r001</x:v>
      </x:c>
      <x:c r="I76" s="23" t="str">
        <x:v>TLE</x:v>
      </x:c>
      <x:c r="J76" s="23" t="n">
        <x:v>0</x:v>
      </x:c>
      <x:c r="K76" s="23" t="n">
        <x:v>20</x:v>
      </x:c>
      <x:c r="L76" s="39" t="b">
        <x:v>0</x:v>
      </x:c>
      <x:c r="M76" s="39" t="b">
        <x:v>0</x:v>
      </x:c>
      <x:c r="N76" s="23"/>
      <x:c r="O76" s="23" t="str">
        <x:v>COMPLEXITY_TLE</x:v>
      </x:c>
      <x:c r="P76" s="55" t="n">
        <x:v>1</x:v>
      </x:c>
      <x:c r="Q76" s="39" t="b">
        <x:v>1</x:v>
      </x:c>
      <x:c r="R76" s="39" t="b">
        <x:v>0</x:v>
      </x:c>
      <x:c r="S76" s="58" t="str">
        <x:v>deterministic_judge_verdict=TLE | judge_failure_pattern=TLE:10,WA:10 | judge_exit_codes=0:10,137:10</x:v>
      </x:c>
      <x:c r="T76" s="23" t="str">
        <x:v>runs/run_i1nHsivyYsMJAGAf</x:v>
      </x:c>
    </x:row>
    <x:row r="77" ht="25" customHeight="1">
      <x:c r="A77" s="23" t="str">
        <x:v>run_i1nHsivyYsMJAGAf:r002:proof_002</x:v>
      </x:c>
      <x:c r="B77" s="23" t="str">
        <x:v>run_i1nHsivyYsMJAGAf</x:v>
      </x:c>
      <x:c r="C77" s="23" t="str">
        <x:v>csps2019_senior_tree</x:v>
      </x:c>
      <x:c r="D77" s="23" t="str">
        <x:v>树上的数</x:v>
      </x:c>
      <x:c r="E77" s="23" t="str">
        <x:v>NOI/NOI+/CTS</x:v>
      </x:c>
      <x:c r="F77" s="23" t="str">
        <x:v>repair</x:v>
      </x:c>
      <x:c r="G77" s="23" t="n">
        <x:v>2</x:v>
      </x:c>
      <x:c r="H77" s="23" t="str">
        <x:v>r002</x:v>
      </x:c>
      <x:c r="I77" s="23" t="str">
        <x:v>TLE</x:v>
      </x:c>
      <x:c r="J77" s="23" t="n">
        <x:v>0</x:v>
      </x:c>
      <x:c r="K77" s="23" t="n">
        <x:v>20</x:v>
      </x:c>
      <x:c r="L77" s="39" t="b">
        <x:v>0</x:v>
      </x:c>
      <x:c r="M77" s="39" t="b">
        <x:v>0</x:v>
      </x:c>
      <x:c r="N77" s="23"/>
      <x:c r="O77" s="23" t="str">
        <x:v>COMPLEXITY_TLE</x:v>
      </x:c>
      <x:c r="P77" s="55" t="n">
        <x:v>1</x:v>
      </x:c>
      <x:c r="Q77" s="39" t="b">
        <x:v>0</x:v>
      </x:c>
      <x:c r="R77" s="39" t="b">
        <x:v>0</x:v>
      </x:c>
      <x:c r="S77" s="58" t="str">
        <x:v>deterministic_judge_verdict=TLE | judge_failure_pattern=TLE:10,WA:10 | judge_exit_codes=0:10,137:10</x:v>
      </x:c>
      <x:c r="T77" s="23" t="str">
        <x:v>runs/run_i1nHsivyYsMJAGAf</x:v>
      </x:c>
    </x:row>
    <x:row r="78" ht="25" customHeight="1">
      <x:c r="A78" s="23" t="str">
        <x:v>run_i1nHsivyYsMJAGAf:r003:proof_003</x:v>
      </x:c>
      <x:c r="B78" s="23" t="str">
        <x:v>run_i1nHsivyYsMJAGAf</x:v>
      </x:c>
      <x:c r="C78" s="23" t="str">
        <x:v>csps2019_senior_tree</x:v>
      </x:c>
      <x:c r="D78" s="23" t="str">
        <x:v>树上的数</x:v>
      </x:c>
      <x:c r="E78" s="23" t="str">
        <x:v>NOI/NOI+/CTS</x:v>
      </x:c>
      <x:c r="F78" s="23" t="str">
        <x:v>repair</x:v>
      </x:c>
      <x:c r="G78" s="23" t="n">
        <x:v>3</x:v>
      </x:c>
      <x:c r="H78" s="23" t="str">
        <x:v>r003</x:v>
      </x:c>
      <x:c r="I78" s="23" t="str">
        <x:v>TLE</x:v>
      </x:c>
      <x:c r="J78" s="23" t="n">
        <x:v>0</x:v>
      </x:c>
      <x:c r="K78" s="23" t="n">
        <x:v>20</x:v>
      </x:c>
      <x:c r="L78" s="39" t="b">
        <x:v>0</x:v>
      </x:c>
      <x:c r="M78" s="39" t="b">
        <x:v>0</x:v>
      </x:c>
      <x:c r="N78" s="23"/>
      <x:c r="O78" s="23" t="str">
        <x:v>COMPLEXITY_TLE</x:v>
      </x:c>
      <x:c r="P78" s="55" t="n">
        <x:v>1</x:v>
      </x:c>
      <x:c r="Q78" s="39" t="b">
        <x:v>0</x:v>
      </x:c>
      <x:c r="R78" s="39" t="b">
        <x:v>0</x:v>
      </x:c>
      <x:c r="S78" s="58" t="str">
        <x:v>deterministic_judge_verdict=TLE | judge_failure_pattern=TLE:7,WA:13 | judge_exit_codes=0:13,137:7</x:v>
      </x:c>
      <x:c r="T78" s="23" t="str">
        <x:v>runs/run_i1nHsivyYsMJAGAf</x:v>
      </x:c>
    </x:row>
    <x:row r="79" ht="25" customHeight="1">
      <x:c r="A79" s="23" t="str">
        <x:v>run_tsJab6z3l0ujrLvM:r000:initial</x:v>
      </x:c>
      <x:c r="B79" s="23" t="str">
        <x:v>run_tsJab6z3l0ujrLvM</x:v>
      </x:c>
      <x:c r="C79" s="23" t="str">
        <x:v>csps2019_senior_tree</x:v>
      </x:c>
      <x:c r="D79" s="23" t="str">
        <x:v>树上的数</x:v>
      </x:c>
      <x:c r="E79" s="23" t="str">
        <x:v>NOI/NOI+/CTS</x:v>
      </x:c>
      <x:c r="F79" s="23" t="str">
        <x:v>initial</x:v>
      </x:c>
      <x:c r="G79" s="23" t="n">
        <x:v>0</x:v>
      </x:c>
      <x:c r="H79" s="23" t="str">
        <x:v>r000</x:v>
      </x:c>
      <x:c r="I79" s="23" t="str">
        <x:v>TLE</x:v>
      </x:c>
      <x:c r="J79" s="23" t="n">
        <x:v>0</x:v>
      </x:c>
      <x:c r="K79" s="23" t="n">
        <x:v>20</x:v>
      </x:c>
      <x:c r="L79" s="39" t="b">
        <x:v>0</x:v>
      </x:c>
      <x:c r="M79" s="39" t="b">
        <x:v>0</x:v>
      </x:c>
      <x:c r="N79" s="23"/>
      <x:c r="O79" s="23" t="str">
        <x:v>COMPLEXITY_TLE</x:v>
      </x:c>
      <x:c r="P79" s="55" t="n">
        <x:v>1</x:v>
      </x:c>
      <x:c r="Q79" s="23"/>
      <x:c r="R79" s="23"/>
      <x:c r="S79" s="58" t="str">
        <x:v>deterministic_judge_verdict=TLE | judge_failure_pattern=TLE:7,WA:13 | judge_exit_codes=0:13,137:7</x:v>
      </x:c>
      <x:c r="T79" s="23" t="str">
        <x:v>runs/run_tsJab6z3l0ujrLvM</x:v>
      </x:c>
    </x:row>
    <x:row r="80" ht="25" customHeight="1">
      <x:c r="A80" s="23" t="str">
        <x:v>run_FtEaK8qwSchJzpfN:r000:initial</x:v>
      </x:c>
      <x:c r="B80" s="23" t="str">
        <x:v>run_FtEaK8qwSchJzpfN</x:v>
      </x:c>
      <x:c r="C80" s="23" t="str">
        <x:v>csps2019_senior_centroid</x:v>
      </x:c>
      <x:c r="D80" s="23" t="str">
        <x:v>树的重心</x:v>
      </x:c>
      <x:c r="E80" s="23" t="str">
        <x:v>省选/NOI−</x:v>
      </x:c>
      <x:c r="F80" s="23" t="str">
        <x:v>initial</x:v>
      </x:c>
      <x:c r="G80" s="23" t="n">
        <x:v>0</x:v>
      </x:c>
      <x:c r="H80" s="23" t="str">
        <x:v>r000</x:v>
      </x:c>
      <x:c r="I80" s="23" t="str">
        <x:v>WA</x:v>
      </x:c>
      <x:c r="J80" s="23" t="n">
        <x:v>0</x:v>
      </x:c>
      <x:c r="K80" s="23" t="n">
        <x:v>20</x:v>
      </x:c>
      <x:c r="L80" s="39" t="b">
        <x:v>0</x:v>
      </x:c>
      <x:c r="M80" s="39" t="b">
        <x:v>0</x:v>
      </x:c>
      <x:c r="N80" s="23"/>
      <x:c r="O80" s="23" t="str">
        <x:v>IMPLEMENTATION_MISMATCH</x:v>
      </x:c>
      <x:c r="P80" s="55" t="n">
        <x:v>1</x:v>
      </x:c>
      <x:c r="Q80" s="23"/>
      <x:c r="R80" s="23"/>
      <x:c r="S80" s="58" t="str">
        <x:v>deterministic_judge_verdict=WA | judge_failure_pattern=WA:20 | judge_exit_codes=0:20</x:v>
      </x:c>
      <x:c r="T80" s="23" t="str">
        <x:v>runs/run_FtEaK8qwSchJzpfN</x:v>
      </x:c>
    </x:row>
    <x:row r="81" ht="25" customHeight="1">
      <x:c r="A81" s="23" t="str">
        <x:v>run_FtEaK8qwSchJzpfN:r001:proof_001</x:v>
      </x:c>
      <x:c r="B81" s="23" t="str">
        <x:v>run_FtEaK8qwSchJzpfN</x:v>
      </x:c>
      <x:c r="C81" s="23" t="str">
        <x:v>csps2019_senior_centroid</x:v>
      </x:c>
      <x:c r="D81" s="23" t="str">
        <x:v>树的重心</x:v>
      </x:c>
      <x:c r="E81" s="23" t="str">
        <x:v>省选/NOI−</x:v>
      </x:c>
      <x:c r="F81" s="23" t="str">
        <x:v>repair</x:v>
      </x:c>
      <x:c r="G81" s="23" t="n">
        <x:v>1</x:v>
      </x:c>
      <x:c r="H81" s="23" t="str">
        <x:v>r001</x:v>
      </x:c>
      <x:c r="I81" s="23" t="str">
        <x:v>TLE</x:v>
      </x:c>
      <x:c r="J81" s="23" t="n">
        <x:v>1</x:v>
      </x:c>
      <x:c r="K81" s="23" t="n">
        <x:v>20</x:v>
      </x:c>
      <x:c r="L81" s="39" t="b">
        <x:v>0</x:v>
      </x:c>
      <x:c r="M81" s="39" t="b">
        <x:v>0</x:v>
      </x:c>
      <x:c r="N81" s="23" t="str">
        <x:v>S5</x:v>
      </x:c>
      <x:c r="O81" s="23" t="str">
        <x:v>WRONG_ALGORITHM</x:v>
      </x:c>
      <x:c r="P81" s="55" t="n">
        <x:v>0.99</x:v>
      </x:c>
      <x:c r="Q81" s="39" t="b">
        <x:v>1</x:v>
      </x:c>
      <x:c r="R81" s="39" t="b">
        <x:v>0</x:v>
      </x:c>
      <x:c r="S81" s="58" t="str">
        <x:v>deterministic_judge_verdict=TLE | judge_failure_pattern=AC:1,TLE:4,WA:15 | judge_exit_codes=0:16,137:4</x:v>
      </x:c>
      <x:c r="T81" s="23" t="str">
        <x:v>runs/run_FtEaK8qwSchJzpfN</x:v>
      </x:c>
    </x:row>
    <x:row r="82" ht="25" customHeight="1">
      <x:c r="A82" s="23" t="str">
        <x:v>run_FtEaK8qwSchJzpfN:r002:proof_002</x:v>
      </x:c>
      <x:c r="B82" s="23" t="str">
        <x:v>run_FtEaK8qwSchJzpfN</x:v>
      </x:c>
      <x:c r="C82" s="23" t="str">
        <x:v>csps2019_senior_centroid</x:v>
      </x:c>
      <x:c r="D82" s="23" t="str">
        <x:v>树的重心</x:v>
      </x:c>
      <x:c r="E82" s="23" t="str">
        <x:v>省选/NOI−</x:v>
      </x:c>
      <x:c r="F82" s="23" t="str">
        <x:v>repair</x:v>
      </x:c>
      <x:c r="G82" s="23" t="n">
        <x:v>2</x:v>
      </x:c>
      <x:c r="H82" s="23" t="str">
        <x:v>r002</x:v>
      </x:c>
      <x:c r="I82" s="23" t="str">
        <x:v>WA</x:v>
      </x:c>
      <x:c r="J82" s="23" t="n">
        <x:v>1</x:v>
      </x:c>
      <x:c r="K82" s="23" t="n">
        <x:v>20</x:v>
      </x:c>
      <x:c r="L82" s="39" t="b">
        <x:v>0</x:v>
      </x:c>
      <x:c r="M82" s="39" t="b">
        <x:v>0</x:v>
      </x:c>
      <x:c r="N82" s="23" t="str">
        <x:v>S4</x:v>
      </x:c>
      <x:c r="O82" s="23" t="str">
        <x:v>IMPLEMENTATION_MISMATCH</x:v>
      </x:c>
      <x:c r="P82" s="55" t="n">
        <x:v>0.9666666666666667</x:v>
      </x:c>
      <x:c r="Q82" s="39" t="b">
        <x:v>1</x:v>
      </x:c>
      <x:c r="R82" s="39" t="b">
        <x:v>0</x:v>
      </x:c>
      <x:c r="S82" s="58" t="str">
        <x:v>deterministic_judge_verdict=WA | judge_failure_pattern=AC:1,WA:19 | judge_exit_codes=0:20</x:v>
      </x:c>
      <x:c r="T82" s="23" t="str">
        <x:v>runs/run_FtEaK8qwSchJzpfN</x:v>
      </x:c>
    </x:row>
    <x:row r="83" ht="25" customHeight="1">
      <x:c r="A83" s="23" t="str">
        <x:v>run_FtEaK8qwSchJzpfN:r003:proof_003</x:v>
      </x:c>
      <x:c r="B83" s="23" t="str">
        <x:v>run_FtEaK8qwSchJzpfN</x:v>
      </x:c>
      <x:c r="C83" s="23" t="str">
        <x:v>csps2019_senior_centroid</x:v>
      </x:c>
      <x:c r="D83" s="23" t="str">
        <x:v>树的重心</x:v>
      </x:c>
      <x:c r="E83" s="23" t="str">
        <x:v>省选/NOI−</x:v>
      </x:c>
      <x:c r="F83" s="23" t="str">
        <x:v>repair</x:v>
      </x:c>
      <x:c r="G83" s="23" t="n">
        <x:v>3</x:v>
      </x:c>
      <x:c r="H83" s="23" t="str">
        <x:v>r003</x:v>
      </x:c>
      <x:c r="I83" s="23" t="str">
        <x:v>WA</x:v>
      </x:c>
      <x:c r="J83" s="23" t="n">
        <x:v>1</x:v>
      </x:c>
      <x:c r="K83" s="23" t="n">
        <x:v>20</x:v>
      </x:c>
      <x:c r="L83" s="39" t="b">
        <x:v>0</x:v>
      </x:c>
      <x:c r="M83" s="39" t="b">
        <x:v>0</x:v>
      </x:c>
      <x:c r="N83" s="23" t="str">
        <x:v>S5</x:v>
      </x:c>
      <x:c r="O83" s="23" t="str">
        <x:v>WRONG_ALGORITHM</x:v>
      </x:c>
      <x:c r="P83" s="55" t="n">
        <x:v>0.95</x:v>
      </x:c>
      <x:c r="Q83" s="39" t="b">
        <x:v>0</x:v>
      </x:c>
      <x:c r="R83" s="39" t="b">
        <x:v>0</x:v>
      </x:c>
      <x:c r="S83" s="58" t="str">
        <x:v>deterministic_judge_verdict=WA | judge_failure_pattern=AC:1,WA:19 | judge_exit_codes=0:20</x:v>
      </x:c>
      <x:c r="T83" s="23" t="str">
        <x:v>runs/run_FtEaK8qwSchJzpfN</x:v>
      </x:c>
    </x:row>
    <x:row r="84" ht="25" customHeight="1">
      <x:c r="A84" s="23" t="str">
        <x:v>run_FtEaK8qwSchJzpfN:r004:proof_004</x:v>
      </x:c>
      <x:c r="B84" s="23" t="str">
        <x:v>run_FtEaK8qwSchJzpfN</x:v>
      </x:c>
      <x:c r="C84" s="23" t="str">
        <x:v>csps2019_senior_centroid</x:v>
      </x:c>
      <x:c r="D84" s="23" t="str">
        <x:v>树的重心</x:v>
      </x:c>
      <x:c r="E84" s="23" t="str">
        <x:v>省选/NOI−</x:v>
      </x:c>
      <x:c r="F84" s="23" t="str">
        <x:v>repair</x:v>
      </x:c>
      <x:c r="G84" s="23" t="n">
        <x:v>4</x:v>
      </x:c>
      <x:c r="H84" s="23" t="str">
        <x:v>r004</x:v>
      </x:c>
      <x:c r="I84" s="23" t="str">
        <x:v>WA</x:v>
      </x:c>
      <x:c r="J84" s="23" t="n">
        <x:v>1</x:v>
      </x:c>
      <x:c r="K84" s="23" t="n">
        <x:v>20</x:v>
      </x:c>
      <x:c r="L84" s="39" t="b">
        <x:v>0</x:v>
      </x:c>
      <x:c r="M84" s="39" t="b">
        <x:v>0</x:v>
      </x:c>
      <x:c r="N84" s="23" t="str">
        <x:v>S5</x:v>
      </x:c>
      <x:c r="O84" s="23" t="str">
        <x:v>IMPLEMENTATION_MISMATCH</x:v>
      </x:c>
      <x:c r="P84" s="55" t="n">
        <x:v>0.975</x:v>
      </x:c>
      <x:c r="Q84" s="39" t="b">
        <x:v>0</x:v>
      </x:c>
      <x:c r="R84" s="39" t="b">
        <x:v>0</x:v>
      </x:c>
      <x:c r="S84" s="58" t="str">
        <x:v>deterministic_judge_verdict=WA | judge_failure_pattern=AC:1,WA:19 | judge_exit_codes=0:20</x:v>
      </x:c>
      <x:c r="T84" s="23" t="str">
        <x:v>runs/run_FtEaK8qwSchJzpfN</x:v>
      </x:c>
    </x:row>
    <x:row r="85" ht="25" customHeight="1">
      <x:c r="A85" s="23" t="str">
        <x:v>run_ZUWaK3nQpE57O40P:r000:initial</x:v>
      </x:c>
      <x:c r="B85" s="23" t="str">
        <x:v>run_ZUWaK3nQpE57O40P</x:v>
      </x:c>
      <x:c r="C85" s="23" t="str">
        <x:v>csps2019_senior_partition</x:v>
      </x:c>
      <x:c r="D85" s="23" t="str">
        <x:v>划分</x:v>
      </x:c>
      <x:c r="E85" s="23" t="str">
        <x:v>省选/NOI−</x:v>
      </x:c>
      <x:c r="F85" s="23" t="str">
        <x:v>initial</x:v>
      </x:c>
      <x:c r="G85" s="23" t="n">
        <x:v>0</x:v>
      </x:c>
      <x:c r="H85" s="23" t="str">
        <x:v>r000</x:v>
      </x:c>
      <x:c r="I85" s="23" t="str">
        <x:v>TLE</x:v>
      </x:c>
      <x:c r="J85" s="23" t="n">
        <x:v>2</x:v>
      </x:c>
      <x:c r="K85" s="23" t="n">
        <x:v>25</x:v>
      </x:c>
      <x:c r="L85" s="39" t="b">
        <x:v>0</x:v>
      </x:c>
      <x:c r="M85" s="39" t="b">
        <x:v>0</x:v>
      </x:c>
      <x:c r="N85" s="23"/>
      <x:c r="O85" s="23" t="str">
        <x:v>COMPLEXITY_TLE</x:v>
      </x:c>
      <x:c r="P85" s="55" t="n">
        <x:v>1</x:v>
      </x:c>
      <x:c r="Q85" s="23"/>
      <x:c r="R85" s="23"/>
      <x:c r="S85" s="58" t="str">
        <x:v>deterministic_judge_verdict=TLE | judge_failure_pattern=AC:2,TLE:3,WA:20 | judge_exit_codes=0:22,137:3</x:v>
      </x:c>
      <x:c r="T85" s="23" t="str">
        <x:v>runs/run_ZUWaK3nQpE57O40P</x:v>
      </x:c>
    </x:row>
    <x:row r="86" ht="25" customHeight="1">
      <x:c r="A86" s="23" t="str">
        <x:v>run_ZUWaK3nQpE57O40P:r001:proof_001</x:v>
      </x:c>
      <x:c r="B86" s="23" t="str">
        <x:v>run_ZUWaK3nQpE57O40P</x:v>
      </x:c>
      <x:c r="C86" s="23" t="str">
        <x:v>csps2019_senior_partition</x:v>
      </x:c>
      <x:c r="D86" s="23" t="str">
        <x:v>划分</x:v>
      </x:c>
      <x:c r="E86" s="23" t="str">
        <x:v>省选/NOI−</x:v>
      </x:c>
      <x:c r="F86" s="23" t="str">
        <x:v>repair</x:v>
      </x:c>
      <x:c r="G86" s="23" t="n">
        <x:v>1</x:v>
      </x:c>
      <x:c r="H86" s="23" t="str">
        <x:v>r001</x:v>
      </x:c>
      <x:c r="I86" s="23" t="str">
        <x:v>TLE</x:v>
      </x:c>
      <x:c r="J86" s="23" t="n">
        <x:v>2</x:v>
      </x:c>
      <x:c r="K86" s="23" t="n">
        <x:v>25</x:v>
      </x:c>
      <x:c r="L86" s="39" t="b">
        <x:v>0</x:v>
      </x:c>
      <x:c r="M86" s="39" t="b">
        <x:v>0</x:v>
      </x:c>
      <x:c r="N86" s="23"/>
      <x:c r="O86" s="23" t="str">
        <x:v>COMPLEXITY_TLE</x:v>
      </x:c>
      <x:c r="P86" s="55" t="n">
        <x:v>1</x:v>
      </x:c>
      <x:c r="Q86" s="39" t="b">
        <x:v>0</x:v>
      </x:c>
      <x:c r="R86" s="39" t="b">
        <x:v>0</x:v>
      </x:c>
      <x:c r="S86" s="58" t="str">
        <x:v>deterministic_judge_verdict=TLE | judge_failure_pattern=AC:2,TLE:3,WA:20 | judge_exit_codes=0:22,137:3</x:v>
      </x:c>
      <x:c r="T86" s="23" t="str">
        <x:v>runs/run_ZUWaK3nQpE57O40P</x:v>
      </x:c>
    </x:row>
    <x:row r="87" ht="25" customHeight="1">
      <x:c r="A87" s="23" t="str">
        <x:v>run_ZUWaK3nQpE57O40P:r002:proof_002</x:v>
      </x:c>
      <x:c r="B87" s="23" t="str">
        <x:v>run_ZUWaK3nQpE57O40P</x:v>
      </x:c>
      <x:c r="C87" s="23" t="str">
        <x:v>csps2019_senior_partition</x:v>
      </x:c>
      <x:c r="D87" s="23" t="str">
        <x:v>划分</x:v>
      </x:c>
      <x:c r="E87" s="23" t="str">
        <x:v>省选/NOI−</x:v>
      </x:c>
      <x:c r="F87" s="23" t="str">
        <x:v>repair</x:v>
      </x:c>
      <x:c r="G87" s="23" t="n">
        <x:v>2</x:v>
      </x:c>
      <x:c r="H87" s="23" t="str">
        <x:v>r002</x:v>
      </x:c>
      <x:c r="I87" s="23" t="str">
        <x:v>TLE</x:v>
      </x:c>
      <x:c r="J87" s="23" t="n">
        <x:v>2</x:v>
      </x:c>
      <x:c r="K87" s="23" t="n">
        <x:v>25</x:v>
      </x:c>
      <x:c r="L87" s="39" t="b">
        <x:v>0</x:v>
      </x:c>
      <x:c r="M87" s="39" t="b">
        <x:v>0</x:v>
      </x:c>
      <x:c r="N87" s="23"/>
      <x:c r="O87" s="23" t="str">
        <x:v>COMPLEXITY_TLE</x:v>
      </x:c>
      <x:c r="P87" s="55" t="n">
        <x:v>1</x:v>
      </x:c>
      <x:c r="Q87" s="39" t="b">
        <x:v>0</x:v>
      </x:c>
      <x:c r="R87" s="39" t="b">
        <x:v>0</x:v>
      </x:c>
      <x:c r="S87" s="58" t="str">
        <x:v>deterministic_judge_verdict=TLE | judge_failure_pattern=AC:2,TLE:3,WA:20 | judge_exit_codes=0:22,137:3</x:v>
      </x:c>
      <x:c r="T87" s="23" t="str">
        <x:v>runs/run_ZUWaK3nQpE57O40P</x:v>
      </x:c>
    </x:row>
    <x:row r="88" ht="25" customHeight="1">
      <x:c r="A88" s="23" t="str">
        <x:v>run_ZUWaK3nQpE57O40P:r003:proof_003</x:v>
      </x:c>
      <x:c r="B88" s="23" t="str">
        <x:v>run_ZUWaK3nQpE57O40P</x:v>
      </x:c>
      <x:c r="C88" s="23" t="str">
        <x:v>csps2019_senior_partition</x:v>
      </x:c>
      <x:c r="D88" s="23" t="str">
        <x:v>划分</x:v>
      </x:c>
      <x:c r="E88" s="23" t="str">
        <x:v>省选/NOI−</x:v>
      </x:c>
      <x:c r="F88" s="23" t="str">
        <x:v>repair</x:v>
      </x:c>
      <x:c r="G88" s="23" t="n">
        <x:v>3</x:v>
      </x:c>
      <x:c r="H88" s="23" t="str">
        <x:v>r003</x:v>
      </x:c>
      <x:c r="I88" s="23" t="str">
        <x:v>TLE</x:v>
      </x:c>
      <x:c r="J88" s="23" t="n">
        <x:v>1</x:v>
      </x:c>
      <x:c r="K88" s="23" t="n">
        <x:v>25</x:v>
      </x:c>
      <x:c r="L88" s="39" t="b">
        <x:v>0</x:v>
      </x:c>
      <x:c r="M88" s="39" t="b">
        <x:v>0</x:v>
      </x:c>
      <x:c r="N88" s="23"/>
      <x:c r="O88" s="23" t="str">
        <x:v>COMPLEXITY_TLE</x:v>
      </x:c>
      <x:c r="P88" s="55" t="n">
        <x:v>1</x:v>
      </x:c>
      <x:c r="Q88" s="39" t="b">
        <x:v>0</x:v>
      </x:c>
      <x:c r="R88" s="39" t="b">
        <x:v>0</x:v>
      </x:c>
      <x:c r="S88" s="58" t="str">
        <x:v>deterministic_judge_verdict=TLE | judge_failure_pattern=AC:1,TLE:3,WA:21 | judge_exit_codes=0:22,137:3</x:v>
      </x:c>
      <x:c r="T88" s="23" t="str">
        <x:v>runs/run_ZUWaK3nQpE57O40P</x:v>
      </x:c>
    </x:row>
    <x:row r="89" ht="25" customHeight="1">
      <x:c r="A89" s="23" t="str">
        <x:v>run_ZUWaK3nQpE57O40P:r004:proof_004</x:v>
      </x:c>
      <x:c r="B89" s="23" t="str">
        <x:v>run_ZUWaK3nQpE57O40P</x:v>
      </x:c>
      <x:c r="C89" s="23" t="str">
        <x:v>csps2019_senior_partition</x:v>
      </x:c>
      <x:c r="D89" s="23" t="str">
        <x:v>划分</x:v>
      </x:c>
      <x:c r="E89" s="23" t="str">
        <x:v>省选/NOI−</x:v>
      </x:c>
      <x:c r="F89" s="23" t="str">
        <x:v>repair</x:v>
      </x:c>
      <x:c r="G89" s="23" t="n">
        <x:v>4</x:v>
      </x:c>
      <x:c r="H89" s="23" t="str">
        <x:v>r004</x:v>
      </x:c>
      <x:c r="I89" s="23" t="str">
        <x:v>RE</x:v>
      </x:c>
      <x:c r="J89" s="23" t="n">
        <x:v>1</x:v>
      </x:c>
      <x:c r="K89" s="23" t="n">
        <x:v>25</x:v>
      </x:c>
      <x:c r="L89" s="39" t="b">
        <x:v>0</x:v>
      </x:c>
      <x:c r="M89" s="39" t="b">
        <x:v>0</x:v>
      </x:c>
      <x:c r="N89" s="23"/>
      <x:c r="O89" s="23" t="str">
        <x:v>RUNTIME_ERROR</x:v>
      </x:c>
      <x:c r="P89" s="55" t="n">
        <x:v>1</x:v>
      </x:c>
      <x:c r="Q89" s="39" t="b">
        <x:v>0</x:v>
      </x:c>
      <x:c r="R89" s="39" t="b">
        <x:v>0</x:v>
      </x:c>
      <x:c r="S89" s="58" t="str">
        <x:v>deterministic_judge_verdict=RE | judge_failure_pattern=AC:1,RE:5,WA:19 | judge_exit_codes=0:20,136:5</x:v>
      </x:c>
      <x:c r="T89" s="23" t="str">
        <x:v>runs/run_ZUWaK3nQpE57O40P</x:v>
      </x:c>
    </x:row>
    <x:row r="90" ht="25" customHeight="1">
      <x:c r="A90" s="23" t="str">
        <x:v>run_gZnBYgrGdN0bhbYL:r000:initial</x:v>
      </x:c>
      <x:c r="B90" s="23" t="str">
        <x:v>run_gZnBYgrGdN0bhbYL</x:v>
      </x:c>
      <x:c r="C90" s="23" t="str">
        <x:v>csps2020_senior_snakes</x:v>
      </x:c>
      <x:c r="D90" s="23" t="str">
        <x:v>贪吃蛇</x:v>
      </x:c>
      <x:c r="E90" s="23" t="str">
        <x:v>省选/NOI−</x:v>
      </x:c>
      <x:c r="F90" s="23" t="str">
        <x:v>initial</x:v>
      </x:c>
      <x:c r="G90" s="23" t="n">
        <x:v>0</x:v>
      </x:c>
      <x:c r="H90" s="23" t="str">
        <x:v>r000</x:v>
      </x:c>
      <x:c r="I90" s="23" t="str">
        <x:v>TLE</x:v>
      </x:c>
      <x:c r="J90" s="23" t="n">
        <x:v>8</x:v>
      </x:c>
      <x:c r="K90" s="23" t="n">
        <x:v>20</x:v>
      </x:c>
      <x:c r="L90" s="39" t="b">
        <x:v>0</x:v>
      </x:c>
      <x:c r="M90" s="39" t="b">
        <x:v>0</x:v>
      </x:c>
      <x:c r="N90" s="23"/>
      <x:c r="O90" s="23" t="str">
        <x:v>COMPLEXITY_TLE</x:v>
      </x:c>
      <x:c r="P90" s="55" t="n">
        <x:v>1</x:v>
      </x:c>
      <x:c r="Q90" s="23"/>
      <x:c r="R90" s="23"/>
      <x:c r="S90" s="58" t="str">
        <x:v>deterministic_judge_verdict=TLE | judge_failure_pattern=AC:8,TLE:6,WA:6 | judge_exit_codes=0:14,137:6</x:v>
      </x:c>
      <x:c r="T90" s="23" t="str">
        <x:v>runs/run_gZnBYgrGdN0bhbYL</x:v>
      </x:c>
    </x:row>
    <x:row r="91" ht="25" customHeight="1">
      <x:c r="A91" s="23" t="str">
        <x:v>run_gZnBYgrGdN0bhbYL:r001:proof_001</x:v>
      </x:c>
      <x:c r="B91" s="23" t="str">
        <x:v>run_gZnBYgrGdN0bhbYL</x:v>
      </x:c>
      <x:c r="C91" s="23" t="str">
        <x:v>csps2020_senior_snakes</x:v>
      </x:c>
      <x:c r="D91" s="23" t="str">
        <x:v>贪吃蛇</x:v>
      </x:c>
      <x:c r="E91" s="23" t="str">
        <x:v>省选/NOI−</x:v>
      </x:c>
      <x:c r="F91" s="23" t="str">
        <x:v>repair</x:v>
      </x:c>
      <x:c r="G91" s="23" t="n">
        <x:v>1</x:v>
      </x:c>
      <x:c r="H91" s="23" t="str">
        <x:v>r001</x:v>
      </x:c>
      <x:c r="I91" s="23" t="str">
        <x:v>WA</x:v>
      </x:c>
      <x:c r="J91" s="23" t="n">
        <x:v>8</x:v>
      </x:c>
      <x:c r="K91" s="23" t="n">
        <x:v>20</x:v>
      </x:c>
      <x:c r="L91" s="39" t="b">
        <x:v>0</x:v>
      </x:c>
      <x:c r="M91" s="39" t="b">
        <x:v>0</x:v>
      </x:c>
      <x:c r="N91" s="23"/>
      <x:c r="O91" s="23" t="str">
        <x:v>IMPLEMENTATION_MISMATCH</x:v>
      </x:c>
      <x:c r="P91" s="55" t="n">
        <x:v>1</x:v>
      </x:c>
      <x:c r="Q91" s="39" t="b">
        <x:v>1</x:v>
      </x:c>
      <x:c r="R91" s="39" t="b">
        <x:v>0</x:v>
      </x:c>
      <x:c r="S91" s="58" t="str">
        <x:v>deterministic_judge_verdict=WA | judge_failure_pattern=AC:8,WA:12 | judge_exit_codes=0:20</x:v>
      </x:c>
      <x:c r="T91" s="23" t="str">
        <x:v>runs/run_gZnBYgrGdN0bhbYL</x:v>
      </x:c>
    </x:row>
    <x:row r="92" ht="25" customHeight="1">
      <x:c r="A92" s="23" t="str">
        <x:v>run_gZnBYgrGdN0bhbYL:r002:proof_002</x:v>
      </x:c>
      <x:c r="B92" s="23" t="str">
        <x:v>run_gZnBYgrGdN0bhbYL</x:v>
      </x:c>
      <x:c r="C92" s="23" t="str">
        <x:v>csps2020_senior_snakes</x:v>
      </x:c>
      <x:c r="D92" s="23" t="str">
        <x:v>贪吃蛇</x:v>
      </x:c>
      <x:c r="E92" s="23" t="str">
        <x:v>省选/NOI−</x:v>
      </x:c>
      <x:c r="F92" s="23" t="str">
        <x:v>repair</x:v>
      </x:c>
      <x:c r="G92" s="23" t="n">
        <x:v>2</x:v>
      </x:c>
      <x:c r="H92" s="23" t="str">
        <x:v>r002</x:v>
      </x:c>
      <x:c r="I92" s="23" t="str">
        <x:v>AC</x:v>
      </x:c>
      <x:c r="J92" s="23" t="n">
        <x:v>20</x:v>
      </x:c>
      <x:c r="K92" s="23" t="n">
        <x:v>20</x:v>
      </x:c>
      <x:c r="L92" s="39" t="b">
        <x:v>1</x:v>
      </x:c>
      <x:c r="M92" s="39" t="b">
        <x:v>0</x:v>
      </x:c>
      <x:c r="N92" s="23"/>
      <x:c r="O92" s="23" t="str">
        <x:v>RESULT_CORRECT_PROCESS_INVALID</x:v>
      </x:c>
      <x:c r="P92" s="55" t="n">
        <x:v>0.9</x:v>
      </x:c>
      <x:c r="Q92" s="39" t="b">
        <x:v>1</x:v>
      </x:c>
      <x:c r="R92" s="39" t="b">
        <x:v>0</x:v>
      </x:c>
      <x:c r="S92" s="58" t="str">
        <x:v>algorithm_critic: Model review deferred until public validation passes. | judge_failure_pattern=AC:20 | judge_exit_codes=0:20</x:v>
      </x:c>
      <x:c r="T92" s="23" t="str">
        <x:v>runs/run_gZnBYgrGdN0bhbYL</x:v>
      </x:c>
    </x:row>
    <x:row r="93" ht="25" customHeight="1">
      <x:c r="A93" s="23" t="str">
        <x:v>run_gZnBYgrGdN0bhbYL:r003:proof_003</x:v>
      </x:c>
      <x:c r="B93" s="23" t="str">
        <x:v>run_gZnBYgrGdN0bhbYL</x:v>
      </x:c>
      <x:c r="C93" s="23" t="str">
        <x:v>csps2020_senior_snakes</x:v>
      </x:c>
      <x:c r="D93" s="23" t="str">
        <x:v>贪吃蛇</x:v>
      </x:c>
      <x:c r="E93" s="23" t="str">
        <x:v>省选/NOI−</x:v>
      </x:c>
      <x:c r="F93" s="23" t="str">
        <x:v>repair</x:v>
      </x:c>
      <x:c r="G93" s="23" t="n">
        <x:v>3</x:v>
      </x:c>
      <x:c r="H93" s="23" t="str">
        <x:v>r003</x:v>
      </x:c>
      <x:c r="I93" s="23" t="str">
        <x:v>AC</x:v>
      </x:c>
      <x:c r="J93" s="23" t="n">
        <x:v>20</x:v>
      </x:c>
      <x:c r="K93" s="23" t="n">
        <x:v>20</x:v>
      </x:c>
      <x:c r="L93" s="39" t="b">
        <x:v>1</x:v>
      </x:c>
      <x:c r="M93" s="39" t="b">
        <x:v>0</x:v>
      </x:c>
      <x:c r="N93" s="23"/>
      <x:c r="O93" s="23" t="str">
        <x:v>RESULT_CORRECT_PROCESS_INVALID</x:v>
      </x:c>
      <x:c r="P93" s="55" t="n">
        <x:v>0.9</x:v>
      </x:c>
      <x:c r="Q93" s="39" t="b">
        <x:v>0</x:v>
      </x:c>
      <x:c r="R93" s="39" t="b">
        <x:v>0</x:v>
      </x:c>
      <x:c r="S93" s="58" t="str">
        <x:v>algorithm_critic: Model review deferred until public validation passes. | judge_failure_pattern=AC:20 | judge_exit_codes=0:20</x:v>
      </x:c>
      <x:c r="T93" s="23" t="str">
        <x:v>runs/run_gZnBYgrGdN0bhbYL</x:v>
      </x:c>
    </x:row>
    <x:row r="94" ht="25" customHeight="1">
      <x:c r="A94" s="23" t="str">
        <x:v>run_gZnBYgrGdN0bhbYL:r002:proof_004</x:v>
      </x:c>
      <x:c r="B94" s="23" t="str">
        <x:v>run_gZnBYgrGdN0bhbYL</x:v>
      </x:c>
      <x:c r="C94" s="23" t="str">
        <x:v>csps2020_senior_snakes</x:v>
      </x:c>
      <x:c r="D94" s="23" t="str">
        <x:v>贪吃蛇</x:v>
      </x:c>
      <x:c r="E94" s="23" t="str">
        <x:v>省选/NOI−</x:v>
      </x:c>
      <x:c r="F94" s="23" t="str">
        <x:v>repair</x:v>
      </x:c>
      <x:c r="G94" s="23" t="n">
        <x:v>4</x:v>
      </x:c>
      <x:c r="H94" s="23" t="str">
        <x:v>r002</x:v>
      </x:c>
      <x:c r="I94" s="23" t="str">
        <x:v>AC</x:v>
      </x:c>
      <x:c r="J94" s="23" t="n">
        <x:v>20</x:v>
      </x:c>
      <x:c r="K94" s="23" t="n">
        <x:v>20</x:v>
      </x:c>
      <x:c r="L94" s="39" t="b">
        <x:v>1</x:v>
      </x:c>
      <x:c r="M94" s="39" t="b">
        <x:v>0</x:v>
      </x:c>
      <x:c r="N94" s="23"/>
      <x:c r="O94" s="23" t="str">
        <x:v>RESULT_CORRECT_PROCESS_INVALID</x:v>
      </x:c>
      <x:c r="P94" s="55" t="n">
        <x:v>0.9</x:v>
      </x:c>
      <x:c r="Q94" s="39" t="b">
        <x:v>0</x:v>
      </x:c>
      <x:c r="R94" s="39" t="b">
        <x:v>1</x:v>
      </x:c>
      <x:c r="S94" s="58" t="str">
        <x:v>algorithm_critic: Model review deferred until public validation passes. | judge_failure_pattern=AC:20 | judge_exit_codes=0:20</x:v>
      </x:c>
      <x:c r="T94" s="23" t="str">
        <x:v>runs/run_gZnBYgrGdN0bhbYL</x:v>
      </x:c>
    </x:row>
    <x:row r="95" ht="25" customHeight="1">
      <x:c r="A95" s="23" t="str">
        <x:v>run_gZnBYgrGdN0bhbYL:r004:proof_005</x:v>
      </x:c>
      <x:c r="B95" s="23" t="str">
        <x:v>run_gZnBYgrGdN0bhbYL</x:v>
      </x:c>
      <x:c r="C95" s="23" t="str">
        <x:v>csps2020_senior_snakes</x:v>
      </x:c>
      <x:c r="D95" s="23" t="str">
        <x:v>贪吃蛇</x:v>
      </x:c>
      <x:c r="E95" s="23" t="str">
        <x:v>省选/NOI−</x:v>
      </x:c>
      <x:c r="F95" s="23" t="str">
        <x:v>repair</x:v>
      </x:c>
      <x:c r="G95" s="23" t="n">
        <x:v>5</x:v>
      </x:c>
      <x:c r="H95" s="23" t="str">
        <x:v>r004</x:v>
      </x:c>
      <x:c r="I95" s="23" t="str">
        <x:v>WA</x:v>
      </x:c>
      <x:c r="J95" s="23" t="n">
        <x:v>4</x:v>
      </x:c>
      <x:c r="K95" s="23" t="n">
        <x:v>20</x:v>
      </x:c>
      <x:c r="L95" s="39" t="b">
        <x:v>0</x:v>
      </x:c>
      <x:c r="M95" s="39" t="b">
        <x:v>0</x:v>
      </x:c>
      <x:c r="N95" s="23"/>
      <x:c r="O95" s="23" t="str">
        <x:v>IMPLEMENTATION_MISMATCH</x:v>
      </x:c>
      <x:c r="P95" s="55" t="n">
        <x:v>1</x:v>
      </x:c>
      <x:c r="Q95" s="39" t="b">
        <x:v>0</x:v>
      </x:c>
      <x:c r="R95" s="39" t="b">
        <x:v>0</x:v>
      </x:c>
      <x:c r="S95" s="58" t="str">
        <x:v>deterministic_judge_verdict=WA | judge_failure_pattern=AC:4,WA:16 | judge_exit_codes=0:20</x:v>
      </x:c>
      <x:c r="T95" s="23" t="str">
        <x:v>runs/run_gZnBYgrGdN0bhbYL</x:v>
      </x:c>
    </x:row>
    <x:row r="96" ht="25" customHeight="1">
      <x:c r="A96" s="23" t="str">
        <x:v>run_JHKyEG3XgusSfgZn:r000:initial</x:v>
      </x:c>
      <x:c r="B96" s="23" t="str">
        <x:v>run_JHKyEG3XgusSfgZn</x:v>
      </x:c>
      <x:c r="C96" s="23" t="str">
        <x:v>csps2024_senior_arena</x:v>
      </x:c>
      <x:c r="D96" s="23" t="str">
        <x:v>擂台游戏</x:v>
      </x:c>
      <x:c r="E96" s="23" t="str">
        <x:v>NOI/NOI+/CTS</x:v>
      </x:c>
      <x:c r="F96" s="23" t="str">
        <x:v>initial</x:v>
      </x:c>
      <x:c r="G96" s="23" t="n">
        <x:v>0</x:v>
      </x:c>
      <x:c r="H96" s="23" t="str">
        <x:v>r000</x:v>
      </x:c>
      <x:c r="I96" s="23" t="str">
        <x:v>RE</x:v>
      </x:c>
      <x:c r="J96" s="23" t="n">
        <x:v>3</x:v>
      </x:c>
      <x:c r="K96" s="23" t="n">
        <x:v>25</x:v>
      </x:c>
      <x:c r="L96" s="39" t="b">
        <x:v>0</x:v>
      </x:c>
      <x:c r="M96" s="39" t="b">
        <x:v>0</x:v>
      </x:c>
      <x:c r="N96" s="23" t="str">
        <x:v>S1.draws</x:v>
      </x:c>
      <x:c r="O96" s="23" t="str">
        <x:v>RUNTIME_ERROR</x:v>
      </x:c>
      <x:c r="P96" s="55" t="n">
        <x:v>0.99</x:v>
      </x:c>
      <x:c r="Q96" s="23"/>
      <x:c r="R96" s="23"/>
      <x:c r="S96" s="58" t="str">
        <x:v>deterministic_judge_verdict=RE | judge_failure_pattern=AC:3,RE:22 | judge_exit_codes=0:3,139:22</x:v>
      </x:c>
      <x:c r="T96" s="23" t="str">
        <x:v>runs/run_JHKyEG3XgusSfgZn</x:v>
      </x:c>
    </x:row>
    <x:row r="97" ht="25" customHeight="1">
      <x:c r="A97" s="23" t="str">
        <x:v>run_JHKyEG3XgusSfgZn:r001:proof_001</x:v>
      </x:c>
      <x:c r="B97" s="23" t="str">
        <x:v>run_JHKyEG3XgusSfgZn</x:v>
      </x:c>
      <x:c r="C97" s="23" t="str">
        <x:v>csps2024_senior_arena</x:v>
      </x:c>
      <x:c r="D97" s="23" t="str">
        <x:v>擂台游戏</x:v>
      </x:c>
      <x:c r="E97" s="23" t="str">
        <x:v>NOI/NOI+/CTS</x:v>
      </x:c>
      <x:c r="F97" s="23" t="str">
        <x:v>repair</x:v>
      </x:c>
      <x:c r="G97" s="23" t="n">
        <x:v>1</x:v>
      </x:c>
      <x:c r="H97" s="23" t="str">
        <x:v>r001</x:v>
      </x:c>
      <x:c r="I97" s="23" t="str">
        <x:v>TLE</x:v>
      </x:c>
      <x:c r="J97" s="23" t="n">
        <x:v>19</x:v>
      </x:c>
      <x:c r="K97" s="23" t="n">
        <x:v>25</x:v>
      </x:c>
      <x:c r="L97" s="39" t="b">
        <x:v>0</x:v>
      </x:c>
      <x:c r="M97" s="39" t="b">
        <x:v>0</x:v>
      </x:c>
      <x:c r="N97" s="23" t="str">
        <x:v>S4.wild</x:v>
      </x:c>
      <x:c r="O97" s="23" t="str">
        <x:v>WRONG_ALGORITHM</x:v>
      </x:c>
      <x:c r="P97" s="55" t="n">
        <x:v>0.9416666666666668</x:v>
      </x:c>
      <x:c r="Q97" s="39" t="b">
        <x:v>1</x:v>
      </x:c>
      <x:c r="R97" s="39" t="b">
        <x:v>0</x:v>
      </x:c>
      <x:c r="S97" s="58" t="str">
        <x:v>deterministic_judge_verdict=TLE | judge_failure_pattern=AC:19,TLE:6 | judge_exit_codes=0:19,137:6</x:v>
      </x:c>
      <x:c r="T97" s="23" t="str">
        <x:v>runs/run_JHKyEG3XgusSfgZn</x:v>
      </x:c>
    </x:row>
    <x:row r="98" ht="25" customHeight="1">
      <x:c r="A98" s="23" t="str">
        <x:v>run_JHKyEG3XgusSfgZn:r002:proof_002</x:v>
      </x:c>
      <x:c r="B98" s="23" t="str">
        <x:v>run_JHKyEG3XgusSfgZn</x:v>
      </x:c>
      <x:c r="C98" s="23" t="str">
        <x:v>csps2024_senior_arena</x:v>
      </x:c>
      <x:c r="D98" s="23" t="str">
        <x:v>擂台游戏</x:v>
      </x:c>
      <x:c r="E98" s="23" t="str">
        <x:v>NOI/NOI+/CTS</x:v>
      </x:c>
      <x:c r="F98" s="23" t="str">
        <x:v>repair</x:v>
      </x:c>
      <x:c r="G98" s="23" t="n">
        <x:v>2</x:v>
      </x:c>
      <x:c r="H98" s="23" t="str">
        <x:v>r002</x:v>
      </x:c>
      <x:c r="I98" s="23" t="str">
        <x:v>TLE</x:v>
      </x:c>
      <x:c r="J98" s="23" t="n">
        <x:v>19</x:v>
      </x:c>
      <x:c r="K98" s="23" t="n">
        <x:v>25</x:v>
      </x:c>
      <x:c r="L98" s="39" t="b">
        <x:v>0</x:v>
      </x:c>
      <x:c r="M98" s="39" t="b">
        <x:v>0</x:v>
      </x:c>
      <x:c r="N98" s="23" t="str">
        <x:v>S7</x:v>
      </x:c>
      <x:c r="O98" s="23" t="str">
        <x:v>COMPLEXITY_TLE</x:v>
      </x:c>
      <x:c r="P98" s="55" t="n">
        <x:v>1</x:v>
      </x:c>
      <x:c r="Q98" s="39" t="b">
        <x:v>0</x:v>
      </x:c>
      <x:c r="R98" s="39" t="b">
        <x:v>0</x:v>
      </x:c>
      <x:c r="S98" s="58" t="str">
        <x:v>deterministic_judge_verdict=TLE | judge_failure_pattern=AC:19,TLE:6 | judge_exit_codes=0:19,137:6</x:v>
      </x:c>
      <x:c r="T98" s="23" t="str">
        <x:v>runs/run_JHKyEG3XgusSfgZn</x:v>
      </x:c>
    </x:row>
    <x:row r="99" ht="25" customHeight="1">
      <x:c r="A99" s="23" t="str">
        <x:v>run_JHKyEG3XgusSfgZn:r003:proof_003</x:v>
      </x:c>
      <x:c r="B99" s="23" t="str">
        <x:v>run_JHKyEG3XgusSfgZn</x:v>
      </x:c>
      <x:c r="C99" s="23" t="str">
        <x:v>csps2024_senior_arena</x:v>
      </x:c>
      <x:c r="D99" s="23" t="str">
        <x:v>擂台游戏</x:v>
      </x:c>
      <x:c r="E99" s="23" t="str">
        <x:v>NOI/NOI+/CTS</x:v>
      </x:c>
      <x:c r="F99" s="23" t="str">
        <x:v>repair</x:v>
      </x:c>
      <x:c r="G99" s="23" t="n">
        <x:v>3</x:v>
      </x:c>
      <x:c r="H99" s="23" t="str">
        <x:v>r003</x:v>
      </x:c>
      <x:c r="I99" s="23" t="str">
        <x:v>TLE</x:v>
      </x:c>
      <x:c r="J99" s="23" t="n">
        <x:v>19</x:v>
      </x:c>
      <x:c r="K99" s="23" t="n">
        <x:v>25</x:v>
      </x:c>
      <x:c r="L99" s="39" t="b">
        <x:v>0</x:v>
      </x:c>
      <x:c r="M99" s="39" t="b">
        <x:v>0</x:v>
      </x:c>
      <x:c r="N99" s="23" t="str">
        <x:v>S4.term</x:v>
      </x:c>
      <x:c r="O99" s="23" t="str">
        <x:v>COMPLEXITY_TLE</x:v>
      </x:c>
      <x:c r="P99" s="55" t="n">
        <x:v>0.975</x:v>
      </x:c>
      <x:c r="Q99" s="39" t="b">
        <x:v>0</x:v>
      </x:c>
      <x:c r="R99" s="39" t="b">
        <x:v>0</x:v>
      </x:c>
      <x:c r="S99" s="58" t="str">
        <x:v>deterministic_judge_verdict=TLE | judge_failure_pattern=AC:19,TLE:6 | judge_exit_codes=0:19,137:6</x:v>
      </x:c>
      <x:c r="T99" s="23" t="str">
        <x:v>runs/run_JHKyEG3XgusSfgZn</x:v>
      </x:c>
    </x:row>
    <x:row r="100" ht="25" customHeight="1">
      <x:c r="A100" s="23" t="str">
        <x:v>run_Zz2mU8cRtRzOpZIt:r000:initial</x:v>
      </x:c>
      <x:c r="B100" s="23" t="str">
        <x:v>run_Zz2mU8cRtRzOpZIt</x:v>
      </x:c>
      <x:c r="C100" s="23" t="str">
        <x:v>noip2020_senior_walk</x:v>
      </x:c>
      <x:c r="D100" s="23" t="str">
        <x:v>微信步数</x:v>
      </x:c>
      <x:c r="E100" s="23" t="str">
        <x:v>省选/NOI−</x:v>
      </x:c>
      <x:c r="F100" s="23" t="str">
        <x:v>initial</x:v>
      </x:c>
      <x:c r="G100" s="23" t="n">
        <x:v>0</x:v>
      </x:c>
      <x:c r="H100" s="23" t="str">
        <x:v>r000</x:v>
      </x:c>
      <x:c r="I100" s="23" t="str">
        <x:v>WA</x:v>
      </x:c>
      <x:c r="J100" s="23" t="n">
        <x:v>11</x:v>
      </x:c>
      <x:c r="K100" s="23" t="n">
        <x:v>20</x:v>
      </x:c>
      <x:c r="L100" s="39" t="b">
        <x:v>0</x:v>
      </x:c>
      <x:c r="M100" s="39" t="b">
        <x:v>0</x:v>
      </x:c>
      <x:c r="N100" s="23"/>
      <x:c r="O100" s="23" t="str">
        <x:v>IMPLEMENTATION_MISMATCH</x:v>
      </x:c>
      <x:c r="P100" s="55" t="n">
        <x:v>1</x:v>
      </x:c>
      <x:c r="Q100" s="23"/>
      <x:c r="R100" s="23"/>
      <x:c r="S100" s="58" t="str">
        <x:v>deterministic_judge_verdict=WA | judge_failure_pattern=AC:11,WA:9 | judge_exit_codes=0:20</x:v>
      </x:c>
      <x:c r="T100" s="23" t="str">
        <x:v>runs/run_Zz2mU8cRtRzOpZIt</x:v>
      </x:c>
    </x:row>
    <x:row r="101" ht="25" customHeight="1">
      <x:c r="A101" s="23" t="str">
        <x:v>run_Zz2mU8cRtRzOpZIt:r001:proof_001</x:v>
      </x:c>
      <x:c r="B101" s="23" t="str">
        <x:v>run_Zz2mU8cRtRzOpZIt</x:v>
      </x:c>
      <x:c r="C101" s="23" t="str">
        <x:v>noip2020_senior_walk</x:v>
      </x:c>
      <x:c r="D101" s="23" t="str">
        <x:v>微信步数</x:v>
      </x:c>
      <x:c r="E101" s="23" t="str">
        <x:v>省选/NOI−</x:v>
      </x:c>
      <x:c r="F101" s="23" t="str">
        <x:v>repair</x:v>
      </x:c>
      <x:c r="G101" s="23" t="n">
        <x:v>1</x:v>
      </x:c>
      <x:c r="H101" s="23" t="str">
        <x:v>r001</x:v>
      </x:c>
      <x:c r="I101" s="23" t="str">
        <x:v>AC</x:v>
      </x:c>
      <x:c r="J101" s="23" t="n">
        <x:v>20</x:v>
      </x:c>
      <x:c r="K101" s="23" t="n">
        <x:v>20</x:v>
      </x:c>
      <x:c r="L101" s="39" t="b">
        <x:v>1</x:v>
      </x:c>
      <x:c r="M101" s="39" t="b">
        <x:v>0</x:v>
      </x:c>
      <x:c r="N101" s="23"/>
      <x:c r="O101" s="23" t="str">
        <x:v>RESULT_CORRECT_PROCESS_INVALID</x:v>
      </x:c>
      <x:c r="P101" s="55" t="n">
        <x:v>0.9</x:v>
      </x:c>
      <x:c r="Q101" s="39" t="b">
        <x:v>1</x:v>
      </x:c>
      <x:c r="R101" s="39" t="b">
        <x:v>0</x:v>
      </x:c>
      <x:c r="S101" s="58" t="str">
        <x:v>algorithm_critic: Model review deferred until public validation passes. | judge_failure_pattern=AC:20 | judge_exit_codes=0:20</x:v>
      </x:c>
      <x:c r="T101" s="23" t="str">
        <x:v>runs/run_Zz2mU8cRtRzOpZIt</x:v>
      </x:c>
    </x:row>
    <x:row r="102" ht="25" customHeight="1">
      <x:c r="A102" s="23" t="str">
        <x:v>run_Zz2mU8cRtRzOpZIt:r002:proof_002</x:v>
      </x:c>
      <x:c r="B102" s="23" t="str">
        <x:v>run_Zz2mU8cRtRzOpZIt</x:v>
      </x:c>
      <x:c r="C102" s="23" t="str">
        <x:v>noip2020_senior_walk</x:v>
      </x:c>
      <x:c r="D102" s="23" t="str">
        <x:v>微信步数</x:v>
      </x:c>
      <x:c r="E102" s="23" t="str">
        <x:v>省选/NOI−</x:v>
      </x:c>
      <x:c r="F102" s="23" t="str">
        <x:v>repair</x:v>
      </x:c>
      <x:c r="G102" s="23" t="n">
        <x:v>2</x:v>
      </x:c>
      <x:c r="H102" s="23" t="str">
        <x:v>r002</x:v>
      </x:c>
      <x:c r="I102" s="23" t="str">
        <x:v>AC</x:v>
      </x:c>
      <x:c r="J102" s="23" t="n">
        <x:v>20</x:v>
      </x:c>
      <x:c r="K102" s="23" t="n">
        <x:v>20</x:v>
      </x:c>
      <x:c r="L102" s="39" t="b">
        <x:v>1</x:v>
      </x:c>
      <x:c r="M102" s="39" t="b">
        <x:v>0</x:v>
      </x:c>
      <x:c r="N102" s="23"/>
      <x:c r="O102" s="23" t="str">
        <x:v>RESULT_CORRECT_PROCESS_INVALID</x:v>
      </x:c>
      <x:c r="P102" s="55" t="n">
        <x:v>0.9</x:v>
      </x:c>
      <x:c r="Q102" s="39" t="b">
        <x:v>0</x:v>
      </x:c>
      <x:c r="R102" s="39" t="b">
        <x:v>0</x:v>
      </x:c>
      <x:c r="S102" s="58" t="str">
        <x:v>algorithm_critic: Model review deferred until public validation passes. | judge_failure_pattern=AC:20 | judge_exit_codes=0:20</x:v>
      </x:c>
      <x:c r="T102" s="23" t="str">
        <x:v>runs/run_Zz2mU8cRtRzOpZIt</x:v>
      </x:c>
    </x:row>
    <x:row r="103" ht="25" customHeight="1">
      <x:c r="A103" s="23" t="str">
        <x:v>run_Zz2mU8cRtRzOpZIt:r003:proof_003</x:v>
      </x:c>
      <x:c r="B103" s="23" t="str">
        <x:v>run_Zz2mU8cRtRzOpZIt</x:v>
      </x:c>
      <x:c r="C103" s="23" t="str">
        <x:v>noip2020_senior_walk</x:v>
      </x:c>
      <x:c r="D103" s="23" t="str">
        <x:v>微信步数</x:v>
      </x:c>
      <x:c r="E103" s="23" t="str">
        <x:v>省选/NOI−</x:v>
      </x:c>
      <x:c r="F103" s="23" t="str">
        <x:v>repair</x:v>
      </x:c>
      <x:c r="G103" s="23" t="n">
        <x:v>3</x:v>
      </x:c>
      <x:c r="H103" s="23" t="str">
        <x:v>r003</x:v>
      </x:c>
      <x:c r="I103" s="23" t="str">
        <x:v>AC</x:v>
      </x:c>
      <x:c r="J103" s="23" t="n">
        <x:v>20</x:v>
      </x:c>
      <x:c r="K103" s="23" t="n">
        <x:v>20</x:v>
      </x:c>
      <x:c r="L103" s="39" t="b">
        <x:v>1</x:v>
      </x:c>
      <x:c r="M103" s="39" t="b">
        <x:v>0</x:v>
      </x:c>
      <x:c r="N103" s="23"/>
      <x:c r="O103" s="23" t="str">
        <x:v>RESULT_CORRECT_PROCESS_INVALID</x:v>
      </x:c>
      <x:c r="P103" s="55" t="n">
        <x:v>0.9</x:v>
      </x:c>
      <x:c r="Q103" s="39" t="b">
        <x:v>0</x:v>
      </x:c>
      <x:c r="R103" s="39" t="b">
        <x:v>0</x:v>
      </x:c>
      <x:c r="S103" s="58" t="str">
        <x:v>algorithm_critic: Model review deferred until public validation passes. | judge_failure_pattern=AC:20 | judge_exit_codes=0:20</x:v>
      </x:c>
      <x:c r="T103" s="23" t="str">
        <x:v>runs/run_Zz2mU8cRtRzOpZIt</x:v>
      </x:c>
    </x:row>
    <x:row r="104" ht="25" customHeight="1">
      <x:c r="A104" s="23" t="str">
        <x:v>run_qX6ogDciQmJJIav:r000:initial</x:v>
      </x:c>
      <x:c r="B104" s="23" t="str">
        <x:v>run_qX6ogDciQmJJIav</x:v>
      </x:c>
      <x:c r="C104" s="23" t="str">
        <x:v>noip2022_senior_match</x:v>
      </x:c>
      <x:c r="D104" s="23" t="str">
        <x:v>比赛</x:v>
      </x:c>
      <x:c r="E104" s="23" t="str">
        <x:v>省选/NOI−</x:v>
      </x:c>
      <x:c r="F104" s="23" t="str">
        <x:v>initial</x:v>
      </x:c>
      <x:c r="G104" s="23" t="n">
        <x:v>0</x:v>
      </x:c>
      <x:c r="H104" s="23" t="str">
        <x:v>r000</x:v>
      </x:c>
      <x:c r="I104" s="23"/>
      <x:c r="J104" s="23"/>
      <x:c r="K104" s="23"/>
      <x:c r="L104" s="39" t="b">
        <x:v>0</x:v>
      </x:c>
      <x:c r="M104" s="39" t="b">
        <x:v>0</x:v>
      </x:c>
      <x:c r="N104" s="23"/>
      <x:c r="O104" s="23" t="str">
        <x:v>COMPILE_ERROR</x:v>
      </x:c>
      <x:c r="P104" s="55" t="n">
        <x:v>1</x:v>
      </x:c>
      <x:c r="Q104" s="23"/>
      <x:c r="R104" s="23"/>
      <x:c r="S104" s="58" t="str">
        <x:v>deterministic_judge_verdict=CE | algorithm_critic: Model review deferred until public validation passes. | code_critic: Model review deferred until public validation passes.</x:v>
      </x:c>
      <x:c r="T104" s="23" t="str">
        <x:v>runs/run_qX6ogDciQmJJIav</x:v>
      </x:c>
    </x:row>
    <x:row r="105" ht="25" customHeight="1">
      <x:c r="A105" s="23" t="str">
        <x:v>run_qX6ogDciQmJJIav:r001:proof_001</x:v>
      </x:c>
      <x:c r="B105" s="23" t="str">
        <x:v>run_qX6ogDciQmJJIav</x:v>
      </x:c>
      <x:c r="C105" s="23" t="str">
        <x:v>noip2022_senior_match</x:v>
      </x:c>
      <x:c r="D105" s="23" t="str">
        <x:v>比赛</x:v>
      </x:c>
      <x:c r="E105" s="23" t="str">
        <x:v>省选/NOI−</x:v>
      </x:c>
      <x:c r="F105" s="23" t="str">
        <x:v>repair</x:v>
      </x:c>
      <x:c r="G105" s="23" t="n">
        <x:v>1</x:v>
      </x:c>
      <x:c r="H105" s="23" t="str">
        <x:v>r001</x:v>
      </x:c>
      <x:c r="I105" s="23" t="str">
        <x:v>TLE</x:v>
      </x:c>
      <x:c r="J105" s="23" t="n">
        <x:v>2</x:v>
      </x:c>
      <x:c r="K105" s="23" t="n">
        <x:v>25</x:v>
      </x:c>
      <x:c r="L105" s="39" t="b">
        <x:v>0</x:v>
      </x:c>
      <x:c r="M105" s="39" t="b">
        <x:v>0</x:v>
      </x:c>
      <x:c r="N105" s="23"/>
      <x:c r="O105" s="23" t="str">
        <x:v>COMPLEXITY_TLE</x:v>
      </x:c>
      <x:c r="P105" s="55" t="n">
        <x:v>1</x:v>
      </x:c>
      <x:c r="Q105" s="39" t="b">
        <x:v>1</x:v>
      </x:c>
      <x:c r="R105" s="39" t="b">
        <x:v>0</x:v>
      </x:c>
      <x:c r="S105" s="58" t="str">
        <x:v>deterministic_judge_verdict=TLE | judge_failure_pattern=AC:2,TLE:23 | judge_exit_codes=0:2,137:23</x:v>
      </x:c>
      <x:c r="T105" s="23" t="str">
        <x:v>runs/run_qX6ogDciQmJJIav</x:v>
      </x:c>
    </x:row>
    <x:row r="106" ht="25" customHeight="1">
      <x:c r="A106" s="23" t="str">
        <x:v>run_qX6ogDciQmJJIav:r002:proof_002</x:v>
      </x:c>
      <x:c r="B106" s="23" t="str">
        <x:v>run_qX6ogDciQmJJIav</x:v>
      </x:c>
      <x:c r="C106" s="23" t="str">
        <x:v>noip2022_senior_match</x:v>
      </x:c>
      <x:c r="D106" s="23" t="str">
        <x:v>比赛</x:v>
      </x:c>
      <x:c r="E106" s="23" t="str">
        <x:v>省选/NOI−</x:v>
      </x:c>
      <x:c r="F106" s="23" t="str">
        <x:v>repair</x:v>
      </x:c>
      <x:c r="G106" s="23" t="n">
        <x:v>2</x:v>
      </x:c>
      <x:c r="H106" s="23" t="str">
        <x:v>r002</x:v>
      </x:c>
      <x:c r="I106" s="23" t="str">
        <x:v>TLE</x:v>
      </x:c>
      <x:c r="J106" s="23" t="n">
        <x:v>0</x:v>
      </x:c>
      <x:c r="K106" s="23" t="n">
        <x:v>25</x:v>
      </x:c>
      <x:c r="L106" s="39" t="b">
        <x:v>0</x:v>
      </x:c>
      <x:c r="M106" s="39" t="b">
        <x:v>0</x:v>
      </x:c>
      <x:c r="N106" s="23"/>
      <x:c r="O106" s="23" t="str">
        <x:v>COMPLEXITY_TLE</x:v>
      </x:c>
      <x:c r="P106" s="55" t="n">
        <x:v>1</x:v>
      </x:c>
      <x:c r="Q106" s="39" t="b">
        <x:v>0</x:v>
      </x:c>
      <x:c r="R106" s="39" t="b">
        <x:v>0</x:v>
      </x:c>
      <x:c r="S106" s="58" t="str">
        <x:v>deterministic_judge_verdict=TLE | judge_failure_pattern=TLE:20,WA:5 | judge_exit_codes=0:5,137:20</x:v>
      </x:c>
      <x:c r="T106" s="23" t="str">
        <x:v>runs/run_qX6ogDciQmJJIav</x:v>
      </x:c>
    </x:row>
    <x:row r="107" ht="25" customHeight="1">
      <x:c r="A107" s="23" t="str">
        <x:v>run_qX6ogDciQmJJIav:r003:proof_003</x:v>
      </x:c>
      <x:c r="B107" s="23" t="str">
        <x:v>run_qX6ogDciQmJJIav</x:v>
      </x:c>
      <x:c r="C107" s="23" t="str">
        <x:v>noip2022_senior_match</x:v>
      </x:c>
      <x:c r="D107" s="23" t="str">
        <x:v>比赛</x:v>
      </x:c>
      <x:c r="E107" s="23" t="str">
        <x:v>省选/NOI−</x:v>
      </x:c>
      <x:c r="F107" s="23" t="str">
        <x:v>repair</x:v>
      </x:c>
      <x:c r="G107" s="23" t="n">
        <x:v>3</x:v>
      </x:c>
      <x:c r="H107" s="23" t="str">
        <x:v>r003</x:v>
      </x:c>
      <x:c r="I107" s="23" t="str">
        <x:v>RE</x:v>
      </x:c>
      <x:c r="J107" s="23" t="n">
        <x:v>0</x:v>
      </x:c>
      <x:c r="K107" s="23" t="n">
        <x:v>25</x:v>
      </x:c>
      <x:c r="L107" s="39" t="b">
        <x:v>0</x:v>
      </x:c>
      <x:c r="M107" s="39" t="b">
        <x:v>0</x:v>
      </x:c>
      <x:c r="N107" s="23"/>
      <x:c r="O107" s="23" t="str">
        <x:v>RUNTIME_ERROR</x:v>
      </x:c>
      <x:c r="P107" s="55" t="n">
        <x:v>1</x:v>
      </x:c>
      <x:c r="Q107" s="39" t="b">
        <x:v>0</x:v>
      </x:c>
      <x:c r="R107" s="39" t="b">
        <x:v>0</x:v>
      </x:c>
      <x:c r="S107" s="58" t="str">
        <x:v>deterministic_judge_verdict=RE | judge_failure_pattern=RE:3,TLE:7,WA:15 | judge_exit_codes=0:15,137:7,139:3</x:v>
      </x:c>
      <x:c r="T107" s="23" t="str">
        <x:v>runs/run_qX6ogDciQmJJIav</x:v>
      </x:c>
    </x:row>
    <x:row r="108" ht="25" customHeight="1">
      <x:c r="A108" s="23" t="str">
        <x:v>run_F27Sx1IAz3npVTSt:r000:initial</x:v>
      </x:c>
      <x:c r="B108" s="23" t="str">
        <x:v>run_F27Sx1IAz3npVTSt</x:v>
      </x:c>
      <x:c r="C108" s="23" t="str">
        <x:v>noip2021_senior_variance</x:v>
      </x:c>
      <x:c r="D108" s="23" t="str">
        <x:v>方差</x:v>
      </x:c>
      <x:c r="E108" s="23" t="str">
        <x:v>省选/NOI−</x:v>
      </x:c>
      <x:c r="F108" s="23" t="str">
        <x:v>initial</x:v>
      </x:c>
      <x:c r="G108" s="23" t="n">
        <x:v>0</x:v>
      </x:c>
      <x:c r="H108" s="23" t="str">
        <x:v>r000</x:v>
      </x:c>
      <x:c r="I108" s="23" t="str">
        <x:v>WA</x:v>
      </x:c>
      <x:c r="J108" s="23" t="n">
        <x:v>6</x:v>
      </x:c>
      <x:c r="K108" s="23" t="n">
        <x:v>25</x:v>
      </x:c>
      <x:c r="L108" s="39" t="b">
        <x:v>0</x:v>
      </x:c>
      <x:c r="M108" s="39" t="b">
        <x:v>0</x:v>
      </x:c>
      <x:c r="N108" s="23"/>
      <x:c r="O108" s="23" t="str">
        <x:v>IMPLEMENTATION_MISMATCH</x:v>
      </x:c>
      <x:c r="P108" s="55" t="n">
        <x:v>1</x:v>
      </x:c>
      <x:c r="Q108" s="23"/>
      <x:c r="R108" s="23"/>
      <x:c r="S108" s="58" t="str">
        <x:v>deterministic_judge_verdict=WA | judge_failure_pattern=AC:6,WA:19 | judge_exit_codes=0:25</x:v>
      </x:c>
      <x:c r="T108" s="23" t="str">
        <x:v>runs/run_F27Sx1IAz3npVTSt</x:v>
      </x:c>
    </x:row>
    <x:row r="109" ht="25" customHeight="1">
      <x:c r="A109" s="23" t="str">
        <x:v>run_F27Sx1IAz3npVTSt:r001:proof_001</x:v>
      </x:c>
      <x:c r="B109" s="23" t="str">
        <x:v>run_F27Sx1IAz3npVTSt</x:v>
      </x:c>
      <x:c r="C109" s="23" t="str">
        <x:v>noip2021_senior_variance</x:v>
      </x:c>
      <x:c r="D109" s="23" t="str">
        <x:v>方差</x:v>
      </x:c>
      <x:c r="E109" s="23" t="str">
        <x:v>省选/NOI−</x:v>
      </x:c>
      <x:c r="F109" s="23" t="str">
        <x:v>repair</x:v>
      </x:c>
      <x:c r="G109" s="23" t="n">
        <x:v>1</x:v>
      </x:c>
      <x:c r="H109" s="23" t="str">
        <x:v>r001</x:v>
      </x:c>
      <x:c r="I109" s="23" t="str">
        <x:v>AC</x:v>
      </x:c>
      <x:c r="J109" s="23" t="n">
        <x:v>25</x:v>
      </x:c>
      <x:c r="K109" s="23" t="n">
        <x:v>25</x:v>
      </x:c>
      <x:c r="L109" s="39" t="b">
        <x:v>1</x:v>
      </x:c>
      <x:c r="M109" s="39" t="b">
        <x:v>0</x:v>
      </x:c>
      <x:c r="N109" s="23"/>
      <x:c r="O109" s="23" t="str">
        <x:v>RESULT_CORRECT_PROCESS_INVALID</x:v>
      </x:c>
      <x:c r="P109" s="55" t="n">
        <x:v>0.9</x:v>
      </x:c>
      <x:c r="Q109" s="39" t="b">
        <x:v>1</x:v>
      </x:c>
      <x:c r="R109" s="39" t="b">
        <x:v>0</x:v>
      </x:c>
      <x:c r="S109" s="58" t="str">
        <x:v>algorithm_critic: Model review deferred until public validation passes. | judge_failure_pattern=AC:25 | judge_exit_codes=0:25</x:v>
      </x:c>
      <x:c r="T109" s="23" t="str">
        <x:v>runs/run_F27Sx1IAz3npVTSt</x:v>
      </x:c>
    </x:row>
    <x:row r="110" ht="25" customHeight="1">
      <x:c r="A110" s="23" t="str">
        <x:v>run_F27Sx1IAz3npVTSt:r001:proof_002</x:v>
      </x:c>
      <x:c r="B110" s="23" t="str">
        <x:v>run_F27Sx1IAz3npVTSt</x:v>
      </x:c>
      <x:c r="C110" s="23" t="str">
        <x:v>noip2021_senior_variance</x:v>
      </x:c>
      <x:c r="D110" s="23" t="str">
        <x:v>方差</x:v>
      </x:c>
      <x:c r="E110" s="23" t="str">
        <x:v>省选/NOI−</x:v>
      </x:c>
      <x:c r="F110" s="23" t="str">
        <x:v>repair</x:v>
      </x:c>
      <x:c r="G110" s="23" t="n">
        <x:v>2</x:v>
      </x:c>
      <x:c r="H110" s="23" t="str">
        <x:v>r001</x:v>
      </x:c>
      <x:c r="I110" s="23" t="str">
        <x:v>AC</x:v>
      </x:c>
      <x:c r="J110" s="23" t="n">
        <x:v>25</x:v>
      </x:c>
      <x:c r="K110" s="23" t="n">
        <x:v>25</x:v>
      </x:c>
      <x:c r="L110" s="39" t="b">
        <x:v>1</x:v>
      </x:c>
      <x:c r="M110" s="39" t="b">
        <x:v>0</x:v>
      </x:c>
      <x:c r="N110" s="23"/>
      <x:c r="O110" s="23" t="str">
        <x:v>RESULT_CORRECT_PROCESS_INVALID</x:v>
      </x:c>
      <x:c r="P110" s="55" t="n">
        <x:v>0.9</x:v>
      </x:c>
      <x:c r="Q110" s="39" t="b">
        <x:v>0</x:v>
      </x:c>
      <x:c r="R110" s="39" t="b">
        <x:v>1</x:v>
      </x:c>
      <x:c r="S110" s="58" t="str">
        <x:v>algorithm_critic: Model review deferred until public validation passes. | judge_failure_pattern=AC:25 | judge_exit_codes=0:25</x:v>
      </x:c>
      <x:c r="T110" s="23" t="str">
        <x:v>runs/run_F27Sx1IAz3npVTSt</x:v>
      </x:c>
    </x:row>
    <x:row r="111" ht="25" customHeight="1">
      <x:c r="A111" s="23" t="str">
        <x:v>run_F27Sx1IAz3npVTSt:r001:proof_003</x:v>
      </x:c>
      <x:c r="B111" s="23" t="str">
        <x:v>run_F27Sx1IAz3npVTSt</x:v>
      </x:c>
      <x:c r="C111" s="23" t="str">
        <x:v>noip2021_senior_variance</x:v>
      </x:c>
      <x:c r="D111" s="23" t="str">
        <x:v>方差</x:v>
      </x:c>
      <x:c r="E111" s="23" t="str">
        <x:v>省选/NOI−</x:v>
      </x:c>
      <x:c r="F111" s="23" t="str">
        <x:v>repair</x:v>
      </x:c>
      <x:c r="G111" s="23" t="n">
        <x:v>3</x:v>
      </x:c>
      <x:c r="H111" s="23" t="str">
        <x:v>r001</x:v>
      </x:c>
      <x:c r="I111" s="23" t="str">
        <x:v>AC</x:v>
      </x:c>
      <x:c r="J111" s="23" t="n">
        <x:v>25</x:v>
      </x:c>
      <x:c r="K111" s="23" t="n">
        <x:v>25</x:v>
      </x:c>
      <x:c r="L111" s="39" t="b">
        <x:v>1</x:v>
      </x:c>
      <x:c r="M111" s="39" t="b">
        <x:v>0</x:v>
      </x:c>
      <x:c r="N111" s="23"/>
      <x:c r="O111" s="23" t="str">
        <x:v>RESULT_CORRECT_PROCESS_INVALID</x:v>
      </x:c>
      <x:c r="P111" s="55" t="n">
        <x:v>0.9</x:v>
      </x:c>
      <x:c r="Q111" s="39" t="b">
        <x:v>0</x:v>
      </x:c>
      <x:c r="R111" s="39" t="b">
        <x:v>1</x:v>
      </x:c>
      <x:c r="S111" s="58" t="str">
        <x:v>algorithm_critic: Model review deferred until public validation passes. | judge_failure_pattern=AC:25 | judge_exit_codes=0:25</x:v>
      </x:c>
      <x:c r="T111" s="23" t="str">
        <x:v>runs/run_F27Sx1IAz3npVTSt</x:v>
      </x:c>
    </x:row>
    <x:row r="112" ht="25" customHeight="1">
      <x:c r="A112" s="23" t="str">
        <x:v>run_ueCo7xYz7YkCGfD:r000:initial</x:v>
      </x:c>
      <x:c r="B112" s="23" t="str">
        <x:v>run_ueCo7xYz7YkCGfD</x:v>
      </x:c>
      <x:c r="C112" s="23" t="str">
        <x:v>csps2019_senior_code</x:v>
      </x:c>
      <x:c r="D112" s="23" t="str">
        <x:v>格雷码</x:v>
      </x:c>
      <x:c r="E112" s="23" t="str">
        <x:v>普及−</x:v>
      </x:c>
      <x:c r="F112" s="23" t="str">
        <x:v>initial</x:v>
      </x:c>
      <x:c r="G112" s="23" t="n">
        <x:v>0</x:v>
      </x:c>
      <x:c r="H112" s="23" t="str">
        <x:v>r000</x:v>
      </x:c>
      <x:c r="I112" s="23" t="str">
        <x:v>AC</x:v>
      </x:c>
      <x:c r="J112" s="23" t="n">
        <x:v>20</x:v>
      </x:c>
      <x:c r="K112" s="23" t="n">
        <x:v>20</x:v>
      </x:c>
      <x:c r="L112" s="39" t="b">
        <x:v>1</x:v>
      </x:c>
      <x:c r="M112" s="39" t="b">
        <x:v>1</x:v>
      </x:c>
      <x:c r="N112" s="23"/>
      <x:c r="O112" s="23" t="str">
        <x:v>UNRESOLVED</x:v>
      </x:c>
      <x:c r="P112" s="55" t="n">
        <x:v>0.9</x:v>
      </x:c>
      <x:c r="Q112" s="23"/>
      <x:c r="R112" s="23"/>
      <x:c r="S112" s="58" t="str">
        <x:v>algorithm_critic: All steps supported. Reference algorithm: compute g=k^(k&gt;&gt;1) and output n-bit binary representation MSB-first; matches recursive Gray code definition and samples. O(n) time, O(1) space, satisfies constr</x:v>
      </x:c>
      <x:c r="T112" s="23" t="str">
        <x:v>runs/run_ueCo7xYz7YkCGfD</x:v>
      </x:c>
    </x:row>
    <x:row r="113" ht="25" customHeight="1">
      <x:c r="A113" s="23" t="str">
        <x:v>run_pFN7Dj8CEk463D:r000:initial</x:v>
      </x:c>
      <x:c r="B113" s="23" t="str">
        <x:v>run_pFN7Dj8CEk463D</x:v>
      </x:c>
      <x:c r="C113" s="23" t="str">
        <x:v>csps2020_senior_call</x:v>
      </x:c>
      <x:c r="D113" s="23" t="str">
        <x:v>函数调用</x:v>
      </x:c>
      <x:c r="E113" s="23" t="str">
        <x:v>提高+/省选−</x:v>
      </x:c>
      <x:c r="F113" s="23" t="str">
        <x:v>initial</x:v>
      </x:c>
      <x:c r="G113" s="23" t="n">
        <x:v>0</x:v>
      </x:c>
      <x:c r="H113" s="23" t="str">
        <x:v>r000</x:v>
      </x:c>
      <x:c r="I113" s="23" t="str">
        <x:v>AC</x:v>
      </x:c>
      <x:c r="J113" s="23" t="n">
        <x:v>20</x:v>
      </x:c>
      <x:c r="K113" s="23" t="n">
        <x:v>20</x:v>
      </x:c>
      <x:c r="L113" s="39" t="b">
        <x:v>1</x:v>
      </x:c>
      <x:c r="M113" s="39" t="b">
        <x:v>1</x:v>
      </x:c>
      <x:c r="N113" s="23"/>
      <x:c r="O113" s="23" t="str">
        <x:v>UNRESOLVED</x:v>
      </x:c>
      <x:c r="P113" s="55" t="n">
        <x:v>0.9</x:v>
      </x:c>
      <x:c r="Q113" s="23"/>
      <x:c r="R113" s="23"/>
      <x:c r="S113" s="58" t="str">
        <x:v>algorithm_critic: Reference algorithm: compute per-function scalar multiplier M[j] via DAG DP; compute total top-level multiplier M_total and seed suffix-sum S for top-level calls; propagate S caller→callee scaled by lat</x:v>
      </x:c>
      <x:c r="T113" s="23" t="str">
        <x:v>runs/run_pFN7Dj8CEk463D</x:v>
      </x:c>
    </x:row>
    <x:row r="114" ht="25" customHeight="1">
      <x:c r="A114" s="23" t="str">
        <x:v>run_Xja7G1LcEDKlLo:r000:initial</x:v>
      </x:c>
      <x:c r="B114" s="23" t="str">
        <x:v>run_Xja7G1LcEDKlLo</x:v>
      </x:c>
      <x:c r="C114" s="23" t="str">
        <x:v>csps2020_senior_julian</x:v>
      </x:c>
      <x:c r="D114" s="23" t="str">
        <x:v>儒略日</x:v>
      </x:c>
      <x:c r="E114" s="23" t="str">
        <x:v>普及+/提高−</x:v>
      </x:c>
      <x:c r="F114" s="23" t="str">
        <x:v>initial</x:v>
      </x:c>
      <x:c r="G114" s="23" t="n">
        <x:v>0</x:v>
      </x:c>
      <x:c r="H114" s="23" t="str">
        <x:v>r000</x:v>
      </x:c>
      <x:c r="I114" s="23" t="str">
        <x:v>AC</x:v>
      </x:c>
      <x:c r="J114" s="23" t="n">
        <x:v>10</x:v>
      </x:c>
      <x:c r="K114" s="23" t="n">
        <x:v>10</x:v>
      </x:c>
      <x:c r="L114" s="39" t="b">
        <x:v>1</x:v>
      </x:c>
      <x:c r="M114" s="39" t="b">
        <x:v>1</x:v>
      </x:c>
      <x:c r="N114" s="23"/>
      <x:c r="O114" s="23" t="str">
        <x:v>UNRESOLVED</x:v>
      </x:c>
      <x:c r="P114" s="55" t="n">
        <x:v>0.9</x:v>
      </x:c>
      <x:c r="Q114" s="23"/>
      <x:c r="R114" s="23"/>
      <x:c r="S114" s="58" t="str">
        <x:v>algorithm_critic: Reference algorithm: map 4713 BC to astro -4712, compute Jan1 JD per Julian/Gregorian with leap rules, binary search year, then month/day. All steps S1-S7 are mathematically consistent with problem spec</x:v>
      </x:c>
      <x:c r="T114" s="23" t="str">
        <x:v>runs/run_Xja7G1LcEDKlLo</x:v>
      </x:c>
    </x:row>
    <x:row r="115" ht="25" customHeight="1">
      <x:c r="A115" s="23" t="str">
        <x:v>run_0iYRSc1et0SGm6P9:r000:initial</x:v>
      </x:c>
      <x:c r="B115" s="23" t="str">
        <x:v>run_0iYRSc1et0SGm6P9</x:v>
      </x:c>
      <x:c r="C115" s="23" t="str">
        <x:v>noip2014_junior_count</x:v>
      </x:c>
      <x:c r="D115" s="23" t="str">
        <x:v>珠心算测验</x:v>
      </x:c>
      <x:c r="E115" s="23" t="str">
        <x:v>普及−</x:v>
      </x:c>
      <x:c r="F115" s="23" t="str">
        <x:v>initial</x:v>
      </x:c>
      <x:c r="G115" s="23" t="n">
        <x:v>0</x:v>
      </x:c>
      <x:c r="H115" s="23" t="str">
        <x:v>r000</x:v>
      </x:c>
      <x:c r="I115" s="23" t="str">
        <x:v>AC</x:v>
      </x:c>
      <x:c r="J115" s="23" t="n">
        <x:v>10</x:v>
      </x:c>
      <x:c r="K115" s="23" t="n">
        <x:v>10</x:v>
      </x:c>
      <x:c r="L115" s="39" t="b">
        <x:v>1</x:v>
      </x:c>
      <x:c r="M115" s="39" t="b">
        <x:v>1</x:v>
      </x:c>
      <x:c r="N115" s="23"/>
      <x:c r="O115" s="23" t="str">
        <x:v>UNRESOLVED</x:v>
      </x:c>
      <x:c r="P115" s="55" t="n">
        <x:v>0.9</x:v>
      </x:c>
      <x:c r="Q115" s="23"/>
      <x:c r="R115" s="23"/>
      <x:c r="S115" s="58" t="str">
        <x:v>algorithm_critic: Reference algorithm: mark set membership, enumerate distinct pairs, flag present sums, count flagged elements. Steps S1-S4 are sound, respect constraints (n≤100, vals≤10000), complexities O(n^2) time an</x:v>
      </x:c>
      <x:c r="T115" s="23" t="str">
        <x:v>runs/run_0iYRSc1et0SGm6P9</x:v>
      </x:c>
    </x:row>
    <x:row r="116" ht="25" customHeight="1">
      <x:c r="A116" s="23" t="str">
        <x:v>run_0K78TZRaJK4QJ3e:r000:initial</x:v>
      </x:c>
      <x:c r="B116" s="23" t="str">
        <x:v>run_0K78TZRaJK4QJ3e</x:v>
      </x:c>
      <x:c r="C116" s="23" t="str">
        <x:v>noip2014_junior_matrix</x:v>
      </x:c>
      <x:c r="D116" s="23" t="str">
        <x:v>螺旋矩阵</x:v>
      </x:c>
      <x:c r="E116" s="23" t="str">
        <x:v>普及</x:v>
      </x:c>
      <x:c r="F116" s="23" t="str">
        <x:v>initial</x:v>
      </x:c>
      <x:c r="G116" s="23" t="n">
        <x:v>0</x:v>
      </x:c>
      <x:c r="H116" s="23" t="str">
        <x:v>r000</x:v>
      </x:c>
      <x:c r="I116" s="23" t="str">
        <x:v>AC</x:v>
      </x:c>
      <x:c r="J116" s="23" t="n">
        <x:v>10</x:v>
      </x:c>
      <x:c r="K116" s="23" t="n">
        <x:v>10</x:v>
      </x:c>
      <x:c r="L116" s="39" t="b">
        <x:v>1</x:v>
      </x:c>
      <x:c r="M116" s="39" t="b">
        <x:v>1</x:v>
      </x:c>
      <x:c r="N116" s="23"/>
      <x:c r="O116" s="23" t="str">
        <x:v>UNRESOLVED</x:v>
      </x:c>
      <x:c r="P116" s="55" t="n">
        <x:v>0.9</x:v>
      </x:c>
      <x:c r="Q116" s="23"/>
      <x:c r="R116" s="23"/>
      <x:c r="S116" s="58" t="str">
        <x:v>algorithm_critic: Reference O(1) algorithm: k=min distances, start=1+4k(n-k), m=n-2k, offset by side; verified on sample, center, corners, and max constraints. No defect found. | judge_failure_pattern=AC:10 | judge_exit_</x:v>
      </x:c>
      <x:c r="T116" s="23" t="str">
        <x:v>runs/run_0K78TZRaJK4QJ3e</x:v>
      </x:c>
    </x:row>
    <x:row r="117" ht="25" customHeight="1">
      <x:c r="A117" s="23" t="str">
        <x:v>run_zcY34OyBRSM0r7I:r000:initial</x:v>
      </x:c>
      <x:c r="B117" s="23" t="str">
        <x:v>run_zcY34OyBRSM0r7I</x:v>
      </x:c>
      <x:c r="C117" s="23" t="str">
        <x:v>noip2014_junior_ratio</x:v>
      </x:c>
      <x:c r="D117" s="23" t="str">
        <x:v>比例简化</x:v>
      </x:c>
      <x:c r="E117" s="23" t="str">
        <x:v>普及−</x:v>
      </x:c>
      <x:c r="F117" s="23" t="str">
        <x:v>initial</x:v>
      </x:c>
      <x:c r="G117" s="23" t="n">
        <x:v>0</x:v>
      </x:c>
      <x:c r="H117" s="23" t="str">
        <x:v>r000</x:v>
      </x:c>
      <x:c r="I117" s="23" t="str">
        <x:v>AC</x:v>
      </x:c>
      <x:c r="J117" s="23" t="n">
        <x:v>10</x:v>
      </x:c>
      <x:c r="K117" s="23" t="n">
        <x:v>10</x:v>
      </x:c>
      <x:c r="L117" s="39" t="b">
        <x:v>1</x:v>
      </x:c>
      <x:c r="M117" s="39" t="b">
        <x:v>1</x:v>
      </x:c>
      <x:c r="N117" s="23"/>
      <x:c r="O117" s="23" t="str">
        <x:v>UNRESOLVED</x:v>
      </x:c>
      <x:c r="P117" s="55" t="n">
        <x:v>0.9</x:v>
      </x:c>
      <x:c r="Q117" s="23"/>
      <x:c r="R117" s="23"/>
      <x:c r="S117" s="58" t="str">
        <x:v>algorithm_critic: Reference algorithm: brute-force all (a,b) in [1,L]^2, keep coprime pairs with a*B&gt;=A*b, pick minimal (a*B-A*b)/b via exact integer cross-comparison. All six steps correctly implement constraints, compl</x:v>
      </x:c>
      <x:c r="T117" s="23" t="str">
        <x:v>runs/run_zcY34OyBRSM0r7I</x:v>
      </x:c>
    </x:row>
    <x:row r="118" ht="25" customHeight="1">
      <x:c r="A118" s="23" t="str">
        <x:v>run_mDNK1c74NSA1fQql:r000:initial</x:v>
      </x:c>
      <x:c r="B118" s="23" t="str">
        <x:v>run_mDNK1c74NSA1fQql</x:v>
      </x:c>
      <x:c r="C118" s="23" t="str">
        <x:v>noip2014_junior_submatrix</x:v>
      </x:c>
      <x:c r="D118" s="23" t="str">
        <x:v>子矩阵</x:v>
      </x:c>
      <x:c r="E118" s="23" t="str">
        <x:v>提高</x:v>
      </x:c>
      <x:c r="F118" s="23" t="str">
        <x:v>initial</x:v>
      </x:c>
      <x:c r="G118" s="23" t="n">
        <x:v>0</x:v>
      </x:c>
      <x:c r="H118" s="23" t="str">
        <x:v>r000</x:v>
      </x:c>
      <x:c r="I118" s="23" t="str">
        <x:v>AC</x:v>
      </x:c>
      <x:c r="J118" s="23" t="n">
        <x:v>20</x:v>
      </x:c>
      <x:c r="K118" s="23" t="n">
        <x:v>20</x:v>
      </x:c>
      <x:c r="L118" s="39" t="b">
        <x:v>1</x:v>
      </x:c>
      <x:c r="M118" s="39" t="b">
        <x:v>1</x:v>
      </x:c>
      <x:c r="N118" s="23"/>
      <x:c r="O118" s="23" t="str">
        <x:v>UNRESOLVED</x:v>
      </x:c>
      <x:c r="P118" s="55" t="n">
        <x:v>0.9</x:v>
      </x:c>
      <x:c r="Q118" s="23"/>
      <x:c r="R118" s="23"/>
      <x:c r="S118" s="58" t="str">
        <x:v>algorithm_critic: Reference algorithm: enumerate all c-column subsets via bitmask, precompute per-row horizontal cost and pairwise vertical cost, then DP over rows to select r rows minimizing sum of adjacent absolute dif</x:v>
      </x:c>
      <x:c r="T118" s="23" t="str">
        <x:v>runs/run_mDNK1c74NSA1fQql</x:v>
      </x:c>
    </x:row>
    <x:row r="119" ht="25" customHeight="1">
      <x:c r="A119" s="23" t="str">
        <x:v>run_PGJATAPTV12qapFz:r000:initial</x:v>
      </x:c>
      <x:c r="B119" s="23" t="str">
        <x:v>run_PGJATAPTV12qapFz</x:v>
      </x:c>
      <x:c r="C119" s="23" t="str">
        <x:v>noip2014_senior_bird</x:v>
      </x:c>
      <x:c r="D119" s="23" t="str">
        <x:v>飞扬的小鸟</x:v>
      </x:c>
      <x:c r="E119" s="23" t="str">
        <x:v>普及+/提高−</x:v>
      </x:c>
      <x:c r="F119" s="23" t="str">
        <x:v>initial</x:v>
      </x:c>
      <x:c r="G119" s="23" t="n">
        <x:v>0</x:v>
      </x:c>
      <x:c r="H119" s="23" t="str">
        <x:v>r000</x:v>
      </x:c>
      <x:c r="I119" s="23" t="str">
        <x:v>AC</x:v>
      </x:c>
      <x:c r="J119" s="23" t="n">
        <x:v>20</x:v>
      </x:c>
      <x:c r="K119" s="23" t="n">
        <x:v>20</x:v>
      </x:c>
      <x:c r="L119" s="39" t="b">
        <x:v>1</x:v>
      </x:c>
      <x:c r="M119" s="39" t="b">
        <x:v>1</x:v>
      </x:c>
      <x:c r="N119" s="23"/>
      <x:c r="O119" s="23" t="str">
        <x:v>UNRESOLVED</x:v>
      </x:c>
      <x:c r="P119" s="55" t="n">
        <x:v>0.9</x:v>
      </x:c>
      <x:c r="Q119" s="23"/>
      <x:c r="R119" s="23"/>
      <x:c r="S119" s="58" t="str">
        <x:v>algorithm_critic: Reference algorithm: rolling DP over positions i=0..n-1 and heights 1..m, with click transitions (multi-click via second pass, capped at m) and no-click descent, pipe gap enforced at coordinates, tracki</x:v>
      </x:c>
      <x:c r="T119" s="23" t="str">
        <x:v>runs/run_PGJATAPTV12qapFz</x:v>
      </x:c>
    </x:row>
    <x:row r="120" ht="25" customHeight="1">
      <x:c r="A120" s="23" t="str">
        <x:v>run_rMfFaEcD2rmwCnZ:r000:initial</x:v>
      </x:c>
      <x:c r="B120" s="23" t="str">
        <x:v>run_rMfFaEcD2rmwCnZ</x:v>
      </x:c>
      <x:c r="C120" s="23" t="str">
        <x:v>noip2014_senior_equation</x:v>
      </x:c>
      <x:c r="D120" s="23" t="str">
        <x:v>解方程</x:v>
      </x:c>
      <x:c r="E120" s="23" t="str">
        <x:v>普及+/提高−</x:v>
      </x:c>
      <x:c r="F120" s="23" t="str">
        <x:v>initial</x:v>
      </x:c>
      <x:c r="G120" s="23" t="n">
        <x:v>0</x:v>
      </x:c>
      <x:c r="H120" s="23" t="str">
        <x:v>r000</x:v>
      </x:c>
      <x:c r="I120" s="23" t="str">
        <x:v>AC</x:v>
      </x:c>
      <x:c r="J120" s="23" t="n">
        <x:v>10</x:v>
      </x:c>
      <x:c r="K120" s="23" t="n">
        <x:v>10</x:v>
      </x:c>
      <x:c r="L120" s="39" t="b">
        <x:v>1</x:v>
      </x:c>
      <x:c r="M120" s="39" t="b">
        <x:v>1</x:v>
      </x:c>
      <x:c r="N120" s="23"/>
      <x:c r="O120" s="23" t="str">
        <x:v>UNRESOLVED</x:v>
      </x:c>
      <x:c r="P120" s="55" t="n">
        <x:v>0.9</x:v>
      </x:c>
      <x:c r="Q120" s="23"/>
      <x:c r="R120" s="23"/>
      <x:c r="S120" s="58" t="str">
        <x:v>algorithm_critic: Reference algorithm: read coefficients as strings, reduce modulo 4 large primes, test x in [1,m] via Horner modulo each prime, collect passing x as roots, output count and roots ascending. All steps ver</x:v>
      </x:c>
      <x:c r="T120" s="23" t="str">
        <x:v>runs/run_rMfFaEcD2rmwCnZ</x:v>
      </x:c>
    </x:row>
    <x:row r="121" ht="25" customHeight="1">
      <x:c r="A121" s="23" t="str">
        <x:v>run_61Vh3ut1VDmrG74:r000:initial</x:v>
      </x:c>
      <x:c r="B121" s="23" t="str">
        <x:v>run_61Vh3ut1VDmrG74</x:v>
      </x:c>
      <x:c r="C121" s="23" t="str">
        <x:v>noip2014_senior_link</x:v>
      </x:c>
      <x:c r="D121" s="23" t="str">
        <x:v>联合权值</x:v>
      </x:c>
      <x:c r="E121" s="23" t="str">
        <x:v>普及</x:v>
      </x:c>
      <x:c r="F121" s="23" t="str">
        <x:v>initial</x:v>
      </x:c>
      <x:c r="G121" s="23" t="n">
        <x:v>0</x:v>
      </x:c>
      <x:c r="H121" s="23" t="str">
        <x:v>r000</x:v>
      </x:c>
      <x:c r="I121" s="23" t="str">
        <x:v>AC</x:v>
      </x:c>
      <x:c r="J121" s="23" t="n">
        <x:v>10</x:v>
      </x:c>
      <x:c r="K121" s="23" t="n">
        <x:v>10</x:v>
      </x:c>
      <x:c r="L121" s="39" t="b">
        <x:v>1</x:v>
      </x:c>
      <x:c r="M121" s="39" t="b">
        <x:v>1</x:v>
      </x:c>
      <x:c r="N121" s="23"/>
      <x:c r="O121" s="23" t="str">
        <x:v>UNRESOLVED</x:v>
      </x:c>
      <x:c r="P121" s="55" t="n">
        <x:v>0.9</x:v>
      </x:c>
      <x:c r="Q121" s="23"/>
      <x:c r="R121" s="23"/>
      <x:c r="S121" s="58" t="str">
        <x:v>algorithm_critic: Reference algorithm: for each vertex compute neighbor weight sum, sum of squares, top two weights; accumulate max product and sum via identity; output max and sum%10007. All steps R1-R6 are mathematical</x:v>
      </x:c>
      <x:c r="T121" s="23" t="str">
        <x:v>runs/run_61Vh3ut1VDmrG74</x:v>
      </x:c>
    </x:row>
    <x:row r="122" ht="25" customHeight="1">
      <x:c r="A122" s="23" t="str">
        <x:v>run_VQxLmXCpVXxHywfR:r000:initial</x:v>
      </x:c>
      <x:c r="B122" s="23" t="str">
        <x:v>run_VQxLmXCpVXxHywfR</x:v>
      </x:c>
      <x:c r="C122" s="23" t="str">
        <x:v>noip2014_senior_road</x:v>
      </x:c>
      <x:c r="D122" s="23" t="str">
        <x:v>寻找道路</x:v>
      </x:c>
      <x:c r="E122" s="23" t="str">
        <x:v>普及</x:v>
      </x:c>
      <x:c r="F122" s="23" t="str">
        <x:v>initial</x:v>
      </x:c>
      <x:c r="G122" s="23" t="n">
        <x:v>0</x:v>
      </x:c>
      <x:c r="H122" s="23" t="str">
        <x:v>r000</x:v>
      </x:c>
      <x:c r="I122" s="23" t="str">
        <x:v>AC</x:v>
      </x:c>
      <x:c r="J122" s="23" t="n">
        <x:v>10</x:v>
      </x:c>
      <x:c r="K122" s="23" t="n">
        <x:v>10</x:v>
      </x:c>
      <x:c r="L122" s="39" t="b">
        <x:v>1</x:v>
      </x:c>
      <x:c r="M122" s="39" t="b">
        <x:v>1</x:v>
      </x:c>
      <x:c r="N122" s="23"/>
      <x:c r="O122" s="23" t="str">
        <x:v>UNRESOLVED</x:v>
      </x:c>
      <x:c r="P122" s="55" t="n">
        <x:v>0.9</x:v>
      </x:c>
      <x:c r="Q122" s="23"/>
      <x:c r="R122" s="23"/>
      <x:c r="S122" s="58" t="str">
        <x:v>algorithm_critic: Reference algorithm: reverse BFS from t to mark vertices that can reach t; filter vertices whose all out-neighbors are marked valid; BFS shortest path from s restricted to valid vertices. All steps S1-S</x:v>
      </x:c>
      <x:c r="T122" s="23" t="str">
        <x:v>runs/run_VQxLmXCpVXxHywfR</x:v>
      </x:c>
    </x:row>
    <x:row r="123" ht="25" customHeight="1">
      <x:c r="A123" s="23" t="str">
        <x:v>run_v1Mdcn5kOf9gYk92:r000:initial</x:v>
      </x:c>
      <x:c r="B123" s="23" t="str">
        <x:v>run_v1Mdcn5kOf9gYk92</x:v>
      </x:c>
      <x:c r="C123" s="23" t="str">
        <x:v>noip2014_senior_rps</x:v>
      </x:c>
      <x:c r="D123" s="23" t="str">
        <x:v>生活大爆炸版石头剪刀布</x:v>
      </x:c>
      <x:c r="E123" s="23" t="str">
        <x:v>普及−</x:v>
      </x:c>
      <x:c r="F123" s="23" t="str">
        <x:v>initial</x:v>
      </x:c>
      <x:c r="G123" s="23" t="n">
        <x:v>0</x:v>
      </x:c>
      <x:c r="H123" s="23" t="str">
        <x:v>r000</x:v>
      </x:c>
      <x:c r="I123" s="23" t="str">
        <x:v>AC</x:v>
      </x:c>
      <x:c r="J123" s="23" t="n">
        <x:v>10</x:v>
      </x:c>
      <x:c r="K123" s="23" t="n">
        <x:v>10</x:v>
      </x:c>
      <x:c r="L123" s="39" t="b">
        <x:v>1</x:v>
      </x:c>
      <x:c r="M123" s="39" t="b">
        <x:v>1</x:v>
      </x:c>
      <x:c r="N123" s="23"/>
      <x:c r="O123" s="23" t="str">
        <x:v>UNRESOLVED</x:v>
      </x:c>
      <x:c r="P123" s="55" t="n">
        <x:v>0.9</x:v>
      </x:c>
      <x:c r="Q123" s="23"/>
      <x:c r="R123" s="23"/>
      <x:c r="S123" s="58" t="str">
        <x:v>algorithm_critic: Reference algorithm: precompute 5x5 RPSLS win matrix; read N,NA,NB and periodic sequences via file I/O; simulate N rounds with modulo indexing updating scores; output scores. All steps S1-S5 supported b</x:v>
      </x:c>
      <x:c r="T123" s="23" t="str">
        <x:v>runs/run_v1Mdcn5kOf9gYk92</x:v>
      </x:c>
    </x:row>
    <x:row r="124" ht="25" customHeight="1">
      <x:c r="A124" s="23" t="str">
        <x:v>run_rC009fgXKZK0ginn:r000:initial</x:v>
      </x:c>
      <x:c r="B124" s="23" t="str">
        <x:v>run_rC009fgXKZK0ginn</x:v>
      </x:c>
      <x:c r="C124" s="23" t="str">
        <x:v>noip2014_senior_wireless</x:v>
      </x:c>
      <x:c r="D124" s="23" t="str">
        <x:v>无线网络发射器选址</x:v>
      </x:c>
      <x:c r="E124" s="23" t="str">
        <x:v>普及−</x:v>
      </x:c>
      <x:c r="F124" s="23" t="str">
        <x:v>initial</x:v>
      </x:c>
      <x:c r="G124" s="23" t="n">
        <x:v>0</x:v>
      </x:c>
      <x:c r="H124" s="23" t="str">
        <x:v>r000</x:v>
      </x:c>
      <x:c r="I124" s="23" t="str">
        <x:v>AC</x:v>
      </x:c>
      <x:c r="J124" s="23" t="n">
        <x:v>10</x:v>
      </x:c>
      <x:c r="K124" s="23" t="n">
        <x:v>10</x:v>
      </x:c>
      <x:c r="L124" s="39" t="b">
        <x:v>1</x:v>
      </x:c>
      <x:c r="M124" s="39" t="b">
        <x:v>1</x:v>
      </x:c>
      <x:c r="N124" s="23"/>
      <x:c r="O124" s="23" t="str">
        <x:v>UNRESOLVED</x:v>
      </x:c>
      <x:c r="P124" s="55" t="n">
        <x:v>0.9</x:v>
      </x:c>
      <x:c r="Q124" s="23"/>
      <x:c r="R124" s="23"/>
      <x:c r="S124" s="58" t="str">
        <x:v>algorithm_critic: Reference algorithm: enumerate all 129*129 grid centers, sum weights of points within axis-aligned square of half-side d, track max sum and count of achieving centers. Steps S1-S5 are sound: file I/O, e</x:v>
      </x:c>
      <x:c r="T124" s="23" t="str">
        <x:v>runs/run_rC009fgXKZK0ginn</x:v>
      </x:c>
    </x:row>
    <x:row r="125" ht="25" customHeight="1">
      <x:c r="A125" s="23" t="str">
        <x:v>run_25X8tgq2qpxb0Yyc:r000:initial</x:v>
      </x:c>
      <x:c r="B125" s="23" t="str">
        <x:v>run_25X8tgq2qpxb0Yyc</x:v>
      </x:c>
      <x:c r="C125" s="23" t="str">
        <x:v>noip2015_junior_coin</x:v>
      </x:c>
      <x:c r="D125" s="23" t="str">
        <x:v>金币</x:v>
      </x:c>
      <x:c r="E125" s="23" t="str">
        <x:v>入门</x:v>
      </x:c>
      <x:c r="F125" s="23" t="str">
        <x:v>initial</x:v>
      </x:c>
      <x:c r="G125" s="23" t="n">
        <x:v>0</x:v>
      </x:c>
      <x:c r="H125" s="23" t="str">
        <x:v>r000</x:v>
      </x:c>
      <x:c r="I125" s="23" t="str">
        <x:v>AC</x:v>
      </x:c>
      <x:c r="J125" s="23" t="n">
        <x:v>10</x:v>
      </x:c>
      <x:c r="K125" s="23" t="n">
        <x:v>10</x:v>
      </x:c>
      <x:c r="L125" s="39" t="b">
        <x:v>1</x:v>
      </x:c>
      <x:c r="M125" s="39" t="b">
        <x:v>0</x:v>
      </x:c>
      <x:c r="N125" s="23" t="str">
        <x:v>S1</x:v>
      </x:c>
      <x:c r="O125" s="23" t="str">
        <x:v>RESULT_CORRECT_PROCESS_INVALID</x:v>
      </x:c>
      <x:c r="P125" s="55" t="n">
        <x:v>0.95</x:v>
      </x:c>
      <x:c r="Q125" s="23"/>
      <x:c r="R125" s="23"/>
      <x:c r="S125" s="58" t="str">
        <x:v>source_document lines 23-31 specify only 'a positive integer k' input and 'a positive integer' output, with no filename requirement. | judge_failure_pattern=AC:10 | judge_exit_codes=0:10</x:v>
      </x:c>
      <x:c r="T125" s="23" t="str">
        <x:v>runs/run_25X8tgq2qpxb0Yyc</x:v>
      </x:c>
    </x:row>
    <x:row r="126" ht="25" customHeight="1">
      <x:c r="A126" s="23" t="str">
        <x:v>run_25X8tgq2qpxb0Yyc:r001:proof_001</x:v>
      </x:c>
      <x:c r="B126" s="23" t="str">
        <x:v>run_25X8tgq2qpxb0Yyc</x:v>
      </x:c>
      <x:c r="C126" s="23" t="str">
        <x:v>noip2015_junior_coin</x:v>
      </x:c>
      <x:c r="D126" s="23" t="str">
        <x:v>金币</x:v>
      </x:c>
      <x:c r="E126" s="23" t="str">
        <x:v>入门</x:v>
      </x:c>
      <x:c r="F126" s="23" t="str">
        <x:v>repair</x:v>
      </x:c>
      <x:c r="G126" s="23" t="n">
        <x:v>1</x:v>
      </x:c>
      <x:c r="H126" s="23" t="str">
        <x:v>r001</x:v>
      </x:c>
      <x:c r="I126" s="23" t="str">
        <x:v>AC</x:v>
      </x:c>
      <x:c r="J126" s="23" t="n">
        <x:v>10</x:v>
      </x:c>
      <x:c r="K126" s="23" t="n">
        <x:v>10</x:v>
      </x:c>
      <x:c r="L126" s="39" t="b">
        <x:v>1</x:v>
      </x:c>
      <x:c r="M126" s="39" t="b">
        <x:v>0</x:v>
      </x:c>
      <x:c r="N126" s="23" t="str">
        <x:v>S1</x:v>
      </x:c>
      <x:c r="O126" s="23" t="str">
        <x:v>RESULT_CORRECT_PROCESS_INVALID</x:v>
      </x:c>
      <x:c r="P126" s="55" t="n">
        <x:v>0.95</x:v>
      </x:c>
      <x:c r="Q126" s="39" t="b">
        <x:v>0</x:v>
      </x:c>
      <x:c r="R126" s="39" t="b">
        <x:v>0</x:v>
      </x:c>
      <x:c r="S126" s="58" t="str">
        <x:v>Public metadata io: {basename:'coin', input_mode:'stdin_and_file', output_mode:'stdout_or_file'} does not state any mandatory file redirection; it permits stdin/stdout. | judge_failure_pattern=AC:10 | judge_exit_codes=0:</x:v>
      </x:c>
      <x:c r="T126" s="23" t="str">
        <x:v>runs/run_25X8tgq2qpxb0Yyc</x:v>
      </x:c>
    </x:row>
    <x:row r="127" ht="25" customHeight="1">
      <x:c r="A127" s="23" t="str">
        <x:v>run_25X8tgq2qpxb0Yyc:r000:proof_002</x:v>
      </x:c>
      <x:c r="B127" s="23" t="str">
        <x:v>run_25X8tgq2qpxb0Yyc</x:v>
      </x:c>
      <x:c r="C127" s="23" t="str">
        <x:v>noip2015_junior_coin</x:v>
      </x:c>
      <x:c r="D127" s="23" t="str">
        <x:v>金币</x:v>
      </x:c>
      <x:c r="E127" s="23" t="str">
        <x:v>入门</x:v>
      </x:c>
      <x:c r="F127" s="23" t="str">
        <x:v>repair</x:v>
      </x:c>
      <x:c r="G127" s="23" t="n">
        <x:v>2</x:v>
      </x:c>
      <x:c r="H127" s="23" t="str">
        <x:v>r000</x:v>
      </x:c>
      <x:c r="I127" s="23" t="str">
        <x:v>AC</x:v>
      </x:c>
      <x:c r="J127" s="23" t="n">
        <x:v>10</x:v>
      </x:c>
      <x:c r="K127" s="23" t="n">
        <x:v>10</x:v>
      </x:c>
      <x:c r="L127" s="39" t="b">
        <x:v>1</x:v>
      </x:c>
      <x:c r="M127" s="39" t="b">
        <x:v>0</x:v>
      </x:c>
      <x:c r="N127" s="23" t="str">
        <x:v>S1</x:v>
      </x:c>
      <x:c r="O127" s="23" t="str">
        <x:v>RESULT_CORRECT_PROCESS_INVALID</x:v>
      </x:c>
      <x:c r="P127" s="55" t="n">
        <x:v>0.95</x:v>
      </x:c>
      <x:c r="Q127" s="39" t="b">
        <x:v>0</x:v>
      </x:c>
      <x:c r="R127" s="39" t="b">
        <x:v>1</x:v>
      </x:c>
      <x:c r="S127" s="58" t="str">
        <x:v>public_metadata.io specifies basename 'coin', input_mode 'stdin_and_file', output_mode 'stdout_or_file', not an exclusive mandatory file requirement. | judge_failure_pattern=AC:10 | judge_exit_codes=0:10</x:v>
      </x:c>
      <x:c r="T127" s="23" t="str">
        <x:v>runs/run_25X8tgq2qpxb0Yyc</x:v>
      </x:c>
    </x:row>
    <x:row r="128" ht="25" customHeight="1">
      <x:c r="A128" s="23" t="str">
        <x:v>run_25X8tgq2qpxb0Yyc:r002:proof_003</x:v>
      </x:c>
      <x:c r="B128" s="23" t="str">
        <x:v>run_25X8tgq2qpxb0Yyc</x:v>
      </x:c>
      <x:c r="C128" s="23" t="str">
        <x:v>noip2015_junior_coin</x:v>
      </x:c>
      <x:c r="D128" s="23" t="str">
        <x:v>金币</x:v>
      </x:c>
      <x:c r="E128" s="23" t="str">
        <x:v>入门</x:v>
      </x:c>
      <x:c r="F128" s="23" t="str">
        <x:v>repair</x:v>
      </x:c>
      <x:c r="G128" s="23" t="n">
        <x:v>3</x:v>
      </x:c>
      <x:c r="H128" s="23" t="str">
        <x:v>r002</x:v>
      </x:c>
      <x:c r="I128" s="23" t="str">
        <x:v>AC</x:v>
      </x:c>
      <x:c r="J128" s="23" t="n">
        <x:v>10</x:v>
      </x:c>
      <x:c r="K128" s="23" t="n">
        <x:v>10</x:v>
      </x:c>
      <x:c r="L128" s="39" t="b">
        <x:v>1</x:v>
      </x:c>
      <x:c r="M128" s="39" t="b">
        <x:v>1</x:v>
      </x:c>
      <x:c r="N128" s="23"/>
      <x:c r="O128" s="23" t="str">
        <x:v>UNRESOLVED</x:v>
      </x:c>
      <x:c r="P128" s="55" t="n">
        <x:v>0.9</x:v>
      </x:c>
      <x:c r="Q128" s="39" t="b">
        <x:v>1</x:v>
      </x:c>
      <x:c r="R128" s="39" t="b">
        <x:v>0</x:v>
      </x:c>
      <x:c r="S128" s="58" t="str">
        <x:v>algorithm_critic: Reference algorithm: simulate blocks n=1,2,... taking min(rem,n) days of n coins until k days summed; O(sqrt(k)) time, O(1) space. All steps S1-S5 valid: I/O redirection permissible per metadata, input </x:v>
      </x:c>
      <x:c r="T128" s="23" t="str">
        <x:v>runs/run_25X8tgq2qpxb0Yyc</x:v>
      </x:c>
    </x:row>
    <x:row r="129" ht="25" customHeight="1">
      <x:c r="A129" s="23" t="str">
        <x:v>run_Qszj6Td6x2mtolG:r000:initial</x:v>
      </x:c>
      <x:c r="B129" s="23" t="str">
        <x:v>run_Qszj6Td6x2mtolG</x:v>
      </x:c>
      <x:c r="C129" s="23" t="str">
        <x:v>noip2015_junior_mine</x:v>
      </x:c>
      <x:c r="D129" s="23" t="str">
        <x:v>扫雷游戏</x:v>
      </x:c>
      <x:c r="E129" s="23" t="str">
        <x:v>入门</x:v>
      </x:c>
      <x:c r="F129" s="23" t="str">
        <x:v>initial</x:v>
      </x:c>
      <x:c r="G129" s="23" t="n">
        <x:v>0</x:v>
      </x:c>
      <x:c r="H129" s="23" t="str">
        <x:v>r000</x:v>
      </x:c>
      <x:c r="I129" s="23" t="str">
        <x:v>AC</x:v>
      </x:c>
      <x:c r="J129" s="23" t="n">
        <x:v>10</x:v>
      </x:c>
      <x:c r="K129" s="23" t="n">
        <x:v>10</x:v>
      </x:c>
      <x:c r="L129" s="39" t="b">
        <x:v>1</x:v>
      </x:c>
      <x:c r="M129" s="39" t="b">
        <x:v>1</x:v>
      </x:c>
      <x:c r="N129" s="23"/>
      <x:c r="O129" s="23" t="str">
        <x:v>UNRESOLVED</x:v>
      </x:c>
      <x:c r="P129" s="55" t="n">
        <x:v>0.9</x:v>
      </x:c>
      <x:c r="Q129" s="23"/>
      <x:c r="R129" s="23"/>
      <x:c r="S129" s="58" t="str">
        <x:v>algorithm_critic: Reference algorithm reads n,m and grid, then per cell counts eight-neighbor mines with bounds checks and outputs per spec. All steps valid; O(n*m) time with monotone loops; no defects found. | judge_fai</x:v>
      </x:c>
      <x:c r="T129" s="23" t="str">
        <x:v>runs/run_Qszj6Td6x2mtolG</x:v>
      </x:c>
    </x:row>
    <x:row r="130" ht="25" customHeight="1">
      <x:c r="A130" s="23" t="str">
        <x:v>run_lJID6kaMN6PY4F:r000:initial</x:v>
      </x:c>
      <x:c r="B130" s="23" t="str">
        <x:v>run_lJID6kaMN6PY4F</x:v>
      </x:c>
      <x:c r="C130" s="23" t="str">
        <x:v>noip2015_junior_salesman</x:v>
      </x:c>
      <x:c r="D130" s="23" t="str">
        <x:v>推销员</x:v>
      </x:c>
      <x:c r="E130" s="23" t="str">
        <x:v>提高</x:v>
      </x:c>
      <x:c r="F130" s="23" t="str">
        <x:v>initial</x:v>
      </x:c>
      <x:c r="G130" s="23" t="n">
        <x:v>0</x:v>
      </x:c>
      <x:c r="H130" s="23" t="str">
        <x:v>r000</x:v>
      </x:c>
      <x:c r="I130" s="23" t="str">
        <x:v>AC</x:v>
      </x:c>
      <x:c r="J130" s="23" t="n">
        <x:v>10</x:v>
      </x:c>
      <x:c r="K130" s="23" t="n">
        <x:v>10</x:v>
      </x:c>
      <x:c r="L130" s="39" t="b">
        <x:v>1</x:v>
      </x:c>
      <x:c r="M130" s="39" t="b">
        <x:v>0</x:v>
      </x:c>
      <x:c r="N130" s="23" t="str">
        <x:v>S2</x:v>
      </x:c>
      <x:c r="O130" s="23" t="str">
        <x:v>RESULT_CORRECT_PROCESS_INVALID</x:v>
      </x:c>
      <x:c r="P130" s="55" t="n">
        <x:v>0.9</x:v>
      </x:c>
      <x:c r="Q130" s="23"/>
      <x:c r="R130" s="23"/>
      <x:c r="S130" s="58" t="str">
        <x:v>Step claims existence of optimal X subset of optimal X+1 and justifies only by 'Adding a household never decreases fatigue (A_i&gt;0, S non-decreasing)' | judge_failure_pattern=AC:10 | judge_exit_codes=0:10</x:v>
      </x:c>
      <x:c r="T130" s="23" t="str">
        <x:v>runs/run_lJID6kaMN6PY4F</x:v>
      </x:c>
    </x:row>
    <x:row r="131" ht="25" customHeight="1">
      <x:c r="A131" s="23" t="str">
        <x:v>run_lJID6kaMN6PY4F:r000:proof_001</x:v>
      </x:c>
      <x:c r="B131" s="23" t="str">
        <x:v>run_lJID6kaMN6PY4F</x:v>
      </x:c>
      <x:c r="C131" s="23" t="str">
        <x:v>noip2015_junior_salesman</x:v>
      </x:c>
      <x:c r="D131" s="23" t="str">
        <x:v>推销员</x:v>
      </x:c>
      <x:c r="E131" s="23" t="str">
        <x:v>提高</x:v>
      </x:c>
      <x:c r="F131" s="23" t="str">
        <x:v>repair</x:v>
      </x:c>
      <x:c r="G131" s="23" t="n">
        <x:v>1</x:v>
      </x:c>
      <x:c r="H131" s="23" t="str">
        <x:v>r000</x:v>
      </x:c>
      <x:c r="I131" s="23" t="str">
        <x:v>AC</x:v>
      </x:c>
      <x:c r="J131" s="23" t="n">
        <x:v>10</x:v>
      </x:c>
      <x:c r="K131" s="23" t="n">
        <x:v>10</x:v>
      </x:c>
      <x:c r="L131" s="39" t="b">
        <x:v>1</x:v>
      </x:c>
      <x:c r="M131" s="39" t="b">
        <x:v>0</x:v>
      </x:c>
      <x:c r="N131" s="23" t="str">
        <x:v>S2</x:v>
      </x:c>
      <x:c r="O131" s="23" t="str">
        <x:v>RESULT_CORRECT_PROCESS_INVALID</x:v>
      </x:c>
      <x:c r="P131" s="55" t="n">
        <x:v>0.9</x:v>
      </x:c>
      <x:c r="Q131" s="39" t="b">
        <x:v>0</x:v>
      </x:c>
      <x:c r="R131" s="39" t="b">
        <x:v>1</x:v>
      </x:c>
      <x:c r="S131" s="58" t="str">
        <x:v>The stated reduction property (optimal size x-1 obtainable by dropping farthest or smallest-A non-farthest) is a known correct lemma. However the given justification is flawed: it writes 'If optimal OPT_{x-1} has farther</x:v>
      </x:c>
      <x:c r="T131" s="23" t="str">
        <x:v>runs/run_lJID6kaMN6PY4F</x:v>
      </x:c>
    </x:row>
    <x:row r="132" ht="25" customHeight="1">
      <x:c r="A132" s="23" t="str">
        <x:v>run_lJID6kaMN6PY4F:r000:proof_002</x:v>
      </x:c>
      <x:c r="B132" s="23" t="str">
        <x:v>run_lJID6kaMN6PY4F</x:v>
      </x:c>
      <x:c r="C132" s="23" t="str">
        <x:v>noip2015_junior_salesman</x:v>
      </x:c>
      <x:c r="D132" s="23" t="str">
        <x:v>推销员</x:v>
      </x:c>
      <x:c r="E132" s="23" t="str">
        <x:v>提高</x:v>
      </x:c>
      <x:c r="F132" s="23" t="str">
        <x:v>repair</x:v>
      </x:c>
      <x:c r="G132" s="23" t="n">
        <x:v>2</x:v>
      </x:c>
      <x:c r="H132" s="23" t="str">
        <x:v>r000</x:v>
      </x:c>
      <x:c r="I132" s="23" t="str">
        <x:v>AC</x:v>
      </x:c>
      <x:c r="J132" s="23" t="n">
        <x:v>10</x:v>
      </x:c>
      <x:c r="K132" s="23" t="n">
        <x:v>10</x:v>
      </x:c>
      <x:c r="L132" s="39" t="b">
        <x:v>1</x:v>
      </x:c>
      <x:c r="M132" s="39" t="b">
        <x:v>0</x:v>
      </x:c>
      <x:c r="N132" s="23" t="str">
        <x:v>S2</x:v>
      </x:c>
      <x:c r="O132" s="23" t="str">
        <x:v>RESULT_CORRECT_PROCESS_INVALID</x:v>
      </x:c>
      <x:c r="P132" s="55" t="n">
        <x:v>0.9</x:v>
      </x:c>
      <x:c r="Q132" s="39" t="b">
        <x:v>0</x:v>
      </x:c>
      <x:c r="R132" s="39" t="b">
        <x:v>1</x:v>
      </x:c>
      <x:c r="S132" s="58" t="str">
        <x:v>Lemma conclusion (at least one of T1 or T2 optimal) is true and matches known correct solution, but justification claims 'The farthest of T2 is some k'' &gt;= k' (since T2 may contain indices between k' and k, or exactly k'</x:v>
      </x:c>
      <x:c r="T132" s="23" t="str">
        <x:v>runs/run_lJID6kaMN6PY4F</x:v>
      </x:c>
    </x:row>
    <x:row r="133" ht="25" customHeight="1">
      <x:c r="A133" s="23" t="str">
        <x:v>run_lJID6kaMN6PY4F:r001:proof_003</x:v>
      </x:c>
      <x:c r="B133" s="23" t="str">
        <x:v>run_lJID6kaMN6PY4F</x:v>
      </x:c>
      <x:c r="C133" s="23" t="str">
        <x:v>noip2015_junior_salesman</x:v>
      </x:c>
      <x:c r="D133" s="23" t="str">
        <x:v>推销员</x:v>
      </x:c>
      <x:c r="E133" s="23" t="str">
        <x:v>提高</x:v>
      </x:c>
      <x:c r="F133" s="23" t="str">
        <x:v>repair</x:v>
      </x:c>
      <x:c r="G133" s="23" t="n">
        <x:v>3</x:v>
      </x:c>
      <x:c r="H133" s="23" t="str">
        <x:v>r001</x:v>
      </x:c>
      <x:c r="I133" s="23" t="str">
        <x:v>AC</x:v>
      </x:c>
      <x:c r="J133" s="23" t="n">
        <x:v>10</x:v>
      </x:c>
      <x:c r="K133" s="23" t="n">
        <x:v>10</x:v>
      </x:c>
      <x:c r="L133" s="39" t="b">
        <x:v>1</x:v>
      </x:c>
      <x:c r="M133" s="39" t="b">
        <x:v>0</x:v>
      </x:c>
      <x:c r="N133" s="23" t="str">
        <x:v>S5</x:v>
      </x:c>
      <x:c r="O133" s="23" t="str">
        <x:v>RESULT_CORRECT_PROCESS_INVALID</x:v>
      </x:c>
      <x:c r="P133" s="55" t="n">
        <x:v>0.95</x:v>
      </x:c>
      <x:c r="Q133" s="39" t="b">
        <x:v>0</x:v>
      </x:c>
      <x:c r="R133" s="39" t="b">
        <x:v>0</x:v>
      </x:c>
      <x:c r="S133" s="58" t="str">
        <x:v>Justification states: adding cur to optimal smaller-farthest set U gives size-x set with farthest cur, then claims 'sum_{T\{cur}} A &gt;= sum_U A + A_cur'. From value(T) &gt;= value(U∪{cur}) we get 2S_cur+sum_T A &gt;= 2S_cur+A_c</x:v>
      </x:c>
      <x:c r="T133" s="23" t="str">
        <x:v>runs/run_lJID6kaMN6PY4F</x:v>
      </x:c>
    </x:row>
    <x:row r="134" ht="25" customHeight="1">
      <x:c r="A134" s="23" t="str">
        <x:v>run_ViFvJ38WqBQd6vF:r000:initial</x:v>
      </x:c>
      <x:c r="B134" s="23" t="str">
        <x:v>run_ViFvJ38WqBQd6vF</x:v>
      </x:c>
      <x:c r="C134" s="23" t="str">
        <x:v>noip2015_junior_sum</x:v>
      </x:c>
      <x:c r="D134" s="23" t="str">
        <x:v>求和</x:v>
      </x:c>
      <x:c r="E134" s="23" t="str">
        <x:v>普及+/提高−</x:v>
      </x:c>
      <x:c r="F134" s="23" t="str">
        <x:v>initial</x:v>
      </x:c>
      <x:c r="G134" s="23" t="n">
        <x:v>0</x:v>
      </x:c>
      <x:c r="H134" s="23" t="str">
        <x:v>r000</x:v>
      </x:c>
      <x:c r="I134" s="23" t="str">
        <x:v>AC</x:v>
      </x:c>
      <x:c r="J134" s="23" t="n">
        <x:v>10</x:v>
      </x:c>
      <x:c r="K134" s="23" t="n">
        <x:v>10</x:v>
      </x:c>
      <x:c r="L134" s="39" t="b">
        <x:v>1</x:v>
      </x:c>
      <x:c r="M134" s="39" t="b">
        <x:v>1</x:v>
      </x:c>
      <x:c r="N134" s="23"/>
      <x:c r="O134" s="23" t="str">
        <x:v>UNRESOLVED</x:v>
      </x:c>
      <x:c r="P134" s="55" t="n">
        <x:v>0.9</x:v>
      </x:c>
      <x:c r="Q134" s="23"/>
      <x:c r="R134" s="23"/>
      <x:c r="S134" s="58" t="str">
        <x:v>algorithm_critic: Reference algorithm groups indices by (color,parity), then per group computes pair-sum contribution (k-2)S_xn+S_x S_n modulo 10007. All steps S0-S5 are mathematically sound, I/O and grouping correct, lo</x:v>
      </x:c>
      <x:c r="T134" s="23" t="str">
        <x:v>runs/run_ViFvJ38WqBQd6vF</x:v>
      </x:c>
    </x:row>
    <x:row r="135" ht="25" customHeight="1">
      <x:c r="A135" s="23" t="str">
        <x:v>run_0eXr027v9hiob9R:r000:initial</x:v>
      </x:c>
      <x:c r="B135" s="23" t="str">
        <x:v>run_0eXr027v9hiob9R</x:v>
      </x:c>
      <x:c r="C135" s="23" t="str">
        <x:v>noip2015_senior_magic</x:v>
      </x:c>
      <x:c r="D135" s="23" t="str">
        <x:v>神奇的幻方</x:v>
      </x:c>
      <x:c r="E135" s="23" t="str">
        <x:v>普及−</x:v>
      </x:c>
      <x:c r="F135" s="23" t="str">
        <x:v>initial</x:v>
      </x:c>
      <x:c r="G135" s="23" t="n">
        <x:v>0</x:v>
      </x:c>
      <x:c r="H135" s="23" t="str">
        <x:v>r000</x:v>
      </x:c>
      <x:c r="I135" s="23" t="str">
        <x:v>AC</x:v>
      </x:c>
      <x:c r="J135" s="23" t="n">
        <x:v>10</x:v>
      </x:c>
      <x:c r="K135" s="23" t="n">
        <x:v>10</x:v>
      </x:c>
      <x:c r="L135" s="39" t="b">
        <x:v>1</x:v>
      </x:c>
      <x:c r="M135" s="39" t="b">
        <x:v>1</x:v>
      </x:c>
      <x:c r="N135" s="23"/>
      <x:c r="O135" s="23" t="str">
        <x:v>UNRESOLVED</x:v>
      </x:c>
      <x:c r="P135" s="55" t="n">
        <x:v>0.9</x:v>
      </x:c>
      <x:c r="Q135" s="23"/>
      <x:c r="R135" s="23"/>
      <x:c r="S135" s="58" t="str">
        <x:v>algorithm_critic: Reference algorithm is the standard Siamese construction for odd-order magic squares: place 1 at top-middle, then iteratively move up-right with torus wrap except at top-right corner move down, and if t</x:v>
      </x:c>
      <x:c r="T135" s="23" t="str">
        <x:v>runs/run_0eXr027v9hiob9R</x:v>
      </x:c>
    </x:row>
    <x:row r="136" ht="25" customHeight="1">
      <x:c r="A136" s="23" t="str">
        <x:v>run_v8gEKqOpVkcw7F12:r000:initial</x:v>
      </x:c>
      <x:c r="B136" s="23" t="str">
        <x:v>run_v8gEKqOpVkcw7F12</x:v>
      </x:c>
      <x:c r="C136" s="23" t="str">
        <x:v>noip2015_senior_stone</x:v>
      </x:c>
      <x:c r="D136" s="23" t="str">
        <x:v>跳石头</x:v>
      </x:c>
      <x:c r="E136" s="23" t="str">
        <x:v>普及</x:v>
      </x:c>
      <x:c r="F136" s="23" t="str">
        <x:v>initial</x:v>
      </x:c>
      <x:c r="G136" s="23" t="n">
        <x:v>0</x:v>
      </x:c>
      <x:c r="H136" s="23" t="str">
        <x:v>r000</x:v>
      </x:c>
      <x:c r="I136" s="23" t="str">
        <x:v>AC</x:v>
      </x:c>
      <x:c r="J136" s="23" t="n">
        <x:v>10</x:v>
      </x:c>
      <x:c r="K136" s="23" t="n">
        <x:v>10</x:v>
      </x:c>
      <x:c r="L136" s="39" t="b">
        <x:v>1</x:v>
      </x:c>
      <x:c r="M136" s="39" t="b">
        <x:v>1</x:v>
      </x:c>
      <x:c r="N136" s="23"/>
      <x:c r="O136" s="23" t="str">
        <x:v>UNRESOLVED</x:v>
      </x:c>
      <x:c r="P136" s="55" t="n">
        <x:v>0.9</x:v>
      </x:c>
      <x:c r="Q136" s="23"/>
      <x:c r="R136" s="23"/>
      <x:c r="S136" s="58" t="str">
        <x:v>algorithm_critic: Reference algorithm: binary search answer x in [1,L]; greedy check can(x) traverses rocks, drops rock when gap from last kept &lt; x, and if final gap to end &lt; x counts dropping last kept; returns cnt&lt;=M. </x:v>
      </x:c>
      <x:c r="T136" s="23" t="str">
        <x:v>runs/run_v8gEKqOpVkcw7F12</x:v>
      </x:c>
    </x:row>
    <x:row r="137" ht="25" customHeight="1">
      <x:c r="A137" s="23" t="str">
        <x:v>run_UKSNvkuV5T1IOmGH:r000:initial</x:v>
      </x:c>
      <x:c r="B137" s="23" t="str">
        <x:v>run_UKSNvkuV5T1IOmGH</x:v>
      </x:c>
      <x:c r="C137" s="23" t="str">
        <x:v>noip2015_senior_substring</x:v>
      </x:c>
      <x:c r="D137" s="23" t="str">
        <x:v>子串</x:v>
      </x:c>
      <x:c r="E137" s="23" t="str">
        <x:v>普及+/提高−</x:v>
      </x:c>
      <x:c r="F137" s="23" t="str">
        <x:v>initial</x:v>
      </x:c>
      <x:c r="G137" s="23" t="n">
        <x:v>0</x:v>
      </x:c>
      <x:c r="H137" s="23" t="str">
        <x:v>r000</x:v>
      </x:c>
      <x:c r="I137" s="23" t="str">
        <x:v>AC</x:v>
      </x:c>
      <x:c r="J137" s="23" t="n">
        <x:v>10</x:v>
      </x:c>
      <x:c r="K137" s="23" t="n">
        <x:v>10</x:v>
      </x:c>
      <x:c r="L137" s="39" t="b">
        <x:v>1</x:v>
      </x:c>
      <x:c r="M137" s="39" t="b">
        <x:v>1</x:v>
      </x:c>
      <x:c r="N137" s="23"/>
      <x:c r="O137" s="23" t="str">
        <x:v>UNRESOLVED</x:v>
      </x:c>
      <x:c r="P137" s="55" t="n">
        <x:v>0.9</x:v>
      </x:c>
      <x:c r="Q137" s="23"/>
      <x:c r="R137" s="23"/>
      <x:c r="S137" s="58" t="str">
        <x:v>algorithm_critic: Reference DP (f[i][j][t][0/1]) matches standard correct recurrence for NOIP2015 substring. All steps S1-S5 are valid; no defect found. I/O via freopen is allowed per metadata, DP base/transitions/answer</x:v>
      </x:c>
      <x:c r="T137" s="23" t="str">
        <x:v>runs/run_UKSNvkuV5T1IOmGH</x:v>
      </x:c>
    </x:row>
    <x:row r="138" ht="25" customHeight="1">
      <x:c r="A138" s="23" t="str">
        <x:v>run_1daD1gXeoRNWm57J:r000:initial</x:v>
      </x:c>
      <x:c r="B138" s="23" t="str">
        <x:v>run_1daD1gXeoRNWm57J</x:v>
      </x:c>
      <x:c r="C138" s="23" t="str">
        <x:v>noip2015_senior_transport</x:v>
      </x:c>
      <x:c r="D138" s="23" t="str">
        <x:v>运输计划</x:v>
      </x:c>
      <x:c r="E138" s="23" t="str">
        <x:v>提高</x:v>
      </x:c>
      <x:c r="F138" s="23" t="str">
        <x:v>initial</x:v>
      </x:c>
      <x:c r="G138" s="23" t="n">
        <x:v>0</x:v>
      </x:c>
      <x:c r="H138" s="23" t="str">
        <x:v>r000</x:v>
      </x:c>
      <x:c r="I138" s="23" t="str">
        <x:v>AC</x:v>
      </x:c>
      <x:c r="J138" s="23" t="n">
        <x:v>20</x:v>
      </x:c>
      <x:c r="K138" s="23" t="n">
        <x:v>20</x:v>
      </x:c>
      <x:c r="L138" s="39" t="b">
        <x:v>1</x:v>
      </x:c>
      <x:c r="M138" s="39" t="b">
        <x:v>1</x:v>
      </x:c>
      <x:c r="N138" s="23"/>
      <x:c r="O138" s="23" t="str">
        <x:v>UNRESOLVED</x:v>
      </x:c>
      <x:c r="P138" s="55" t="n">
        <x:v>0.9</x:v>
      </x:c>
      <x:c r="Q138" s="23"/>
      <x:c r="R138" s="23"/>
      <x:c r="S138" s="58" t="str">
        <x:v>algorithm_critic: Reference algorithm reconstructs as binary-search answer with tree-difference edge coverage check; all provided steps S1-S7 are mathematically sound, complexity within limits, invariants and boundary ha</x:v>
      </x:c>
      <x:c r="T138" s="23" t="str">
        <x:v>runs/run_1daD1gXeoRNWm57J</x:v>
      </x:c>
    </x:row>
    <x:row r="139" ht="25" customHeight="1">
      <x:c r="A139" s="23" t="str">
        <x:v>run_aI26zu6L1yVpXpr:r000:initial</x:v>
      </x:c>
      <x:c r="B139" s="23" t="str">
        <x:v>run_aI26zu6L1yVpXpr</x:v>
      </x:c>
      <x:c r="C139" s="23" t="str">
        <x:v>noip2016_junior_magic</x:v>
      </x:c>
      <x:c r="D139" s="23" t="str">
        <x:v>魔法阵</x:v>
      </x:c>
      <x:c r="E139" s="23" t="str">
        <x:v>普及+/提高−</x:v>
      </x:c>
      <x:c r="F139" s="23" t="str">
        <x:v>initial</x:v>
      </x:c>
      <x:c r="G139" s="23" t="n">
        <x:v>0</x:v>
      </x:c>
      <x:c r="H139" s="23" t="str">
        <x:v>r000</x:v>
      </x:c>
      <x:c r="I139" s="23" t="str">
        <x:v>AC</x:v>
      </x:c>
      <x:c r="J139" s="23" t="n">
        <x:v>20</x:v>
      </x:c>
      <x:c r="K139" s="23" t="n">
        <x:v>20</x:v>
      </x:c>
      <x:c r="L139" s="39" t="b">
        <x:v>1</x:v>
      </x:c>
      <x:c r="M139" s="39" t="b">
        <x:v>0</x:v>
      </x:c>
      <x:c r="N139" s="23" t="str">
        <x:v>R6</x:v>
      </x:c>
      <x:c r="O139" s="23" t="str">
        <x:v>RESULT_CORRECT_PROCESS_INVALID</x:v>
      </x:c>
      <x:c r="P139" s="55" t="n">
        <x:v>0.9</x:v>
      </x:c>
      <x:c r="Q139" s="23"/>
      <x:c r="R139" s="23"/>
      <x:c r="S139" s="58" t="str">
        <x:v>Public metadata io.input_mode='stdin_and_file', output_mode='stdout_or_file' (source_document public_metadata). This permits standard stream I/O; the step's claim that standard stream only I/O is forbidden and that metad</x:v>
      </x:c>
      <x:c r="T139" s="23" t="str">
        <x:v>runs/run_aI26zu6L1yVpXpr</x:v>
      </x:c>
    </x:row>
    <x:row r="140" ht="25" customHeight="1">
      <x:c r="A140" s="23" t="str">
        <x:v>run_aI26zu6L1yVpXpr:r000:proof_001</x:v>
      </x:c>
      <x:c r="B140" s="23" t="str">
        <x:v>run_aI26zu6L1yVpXpr</x:v>
      </x:c>
      <x:c r="C140" s="23" t="str">
        <x:v>noip2016_junior_magic</x:v>
      </x:c>
      <x:c r="D140" s="23" t="str">
        <x:v>魔法阵</x:v>
      </x:c>
      <x:c r="E140" s="23" t="str">
        <x:v>普及+/提高−</x:v>
      </x:c>
      <x:c r="F140" s="23" t="str">
        <x:v>repair</x:v>
      </x:c>
      <x:c r="G140" s="23" t="n">
        <x:v>1</x:v>
      </x:c>
      <x:c r="H140" s="23" t="str">
        <x:v>r000</x:v>
      </x:c>
      <x:c r="I140" s="23" t="str">
        <x:v>AC</x:v>
      </x:c>
      <x:c r="J140" s="23" t="n">
        <x:v>20</x:v>
      </x:c>
      <x:c r="K140" s="23" t="n">
        <x:v>20</x:v>
      </x:c>
      <x:c r="L140" s="39" t="b">
        <x:v>1</x:v>
      </x:c>
      <x:c r="M140" s="39" t="b">
        <x:v>1</x:v>
      </x:c>
      <x:c r="N140" s="23"/>
      <x:c r="O140" s="23" t="str">
        <x:v>UNRESOLVED</x:v>
      </x:c>
      <x:c r="P140" s="55" t="n">
        <x:v>0.9</x:v>
      </x:c>
      <x:c r="Q140" s="39" t="b">
        <x:v>1</x:v>
      </x:c>
      <x:c r="R140" s="39" t="b">
        <x:v>1</x:v>
      </x:c>
      <x:c r="S140" s="58" t="str">
        <x:v>algorithm_critic: Reference algorithm: enumerate t=X_d-X_c, use frequency array and suffix/prefix sums to compute per-value (hence per-item) A/B/C/D counts in O(n*max_t) time, O(n+m) space, correctly handling duplicates </x:v>
      </x:c>
      <x:c r="T140" s="23" t="str">
        <x:v>runs/run_aI26zu6L1yVpXpr</x:v>
      </x:c>
    </x:row>
    <x:row r="141" ht="25" customHeight="1">
      <x:c r="A141" s="23" t="str">
        <x:v>run_38hzQ4lU1qvvdKDt:r000:initial</x:v>
      </x:c>
      <x:c r="B141" s="23" t="str">
        <x:v>run_38hzQ4lU1qvvdKDt</x:v>
      </x:c>
      <x:c r="C141" s="23" t="str">
        <x:v>noip2016_junior_pencil</x:v>
      </x:c>
      <x:c r="D141" s="23" t="str">
        <x:v>买铅笔</x:v>
      </x:c>
      <x:c r="E141" s="23" t="str">
        <x:v>入门</x:v>
      </x:c>
      <x:c r="F141" s="23" t="str">
        <x:v>initial</x:v>
      </x:c>
      <x:c r="G141" s="23" t="n">
        <x:v>0</x:v>
      </x:c>
      <x:c r="H141" s="23" t="str">
        <x:v>r000</x:v>
      </x:c>
      <x:c r="I141" s="23" t="str">
        <x:v>AC</x:v>
      </x:c>
      <x:c r="J141" s="23" t="n">
        <x:v>20</x:v>
      </x:c>
      <x:c r="K141" s="23" t="n">
        <x:v>20</x:v>
      </x:c>
      <x:c r="L141" s="39" t="b">
        <x:v>1</x:v>
      </x:c>
      <x:c r="M141" s="39" t="b">
        <x:v>1</x:v>
      </x:c>
      <x:c r="N141" s="23"/>
      <x:c r="O141" s="23" t="str">
        <x:v>UNRESOLVED</x:v>
      </x:c>
      <x:c r="P141" s="55" t="n">
        <x:v>0.9</x:v>
      </x:c>
      <x:c r="Q141" s="23"/>
      <x:c r="R141" s="23"/>
      <x:c r="S141" s="58" t="str">
        <x:v>algorithm_critic: Reference algorithm: read n, loop over 3 packages computing k_i=ceil(n/q_i) via (n+q_i-1)/q_i, cost_i=k_i*p_i, output min. All steps S1-S10 are supported by problem constraints and proofs; ceiling divis</x:v>
      </x:c>
      <x:c r="T141" s="23" t="str">
        <x:v>runs/run_38hzQ4lU1qvvdKDt</x:v>
      </x:c>
    </x:row>
    <x:row r="142" ht="25" customHeight="1">
      <x:c r="A142" s="23" t="str">
        <x:v>run_0IsBDJa58dKOJfHi:r000:initial</x:v>
      </x:c>
      <x:c r="B142" s="23" t="str">
        <x:v>run_0IsBDJa58dKOJfHi</x:v>
      </x:c>
      <x:c r="C142" s="23" t="str">
        <x:v>noip2016_junior_port</x:v>
      </x:c>
      <x:c r="D142" s="23" t="str">
        <x:v>海港</x:v>
      </x:c>
      <x:c r="E142" s="23" t="str">
        <x:v>普及</x:v>
      </x:c>
      <x:c r="F142" s="23" t="str">
        <x:v>initial</x:v>
      </x:c>
      <x:c r="G142" s="23" t="n">
        <x:v>0</x:v>
      </x:c>
      <x:c r="H142" s="23" t="str">
        <x:v>r000</x:v>
      </x:c>
      <x:c r="I142" s="23" t="str">
        <x:v>AC</x:v>
      </x:c>
      <x:c r="J142" s="23" t="n">
        <x:v>20</x:v>
      </x:c>
      <x:c r="K142" s="23" t="n">
        <x:v>20</x:v>
      </x:c>
      <x:c r="L142" s="39" t="b">
        <x:v>1</x:v>
      </x:c>
      <x:c r="M142" s="39" t="b">
        <x:v>1</x:v>
      </x:c>
      <x:c r="N142" s="23"/>
      <x:c r="O142" s="23" t="str">
        <x:v>UNRESOLVED</x:v>
      </x:c>
      <x:c r="P142" s="55" t="n">
        <x:v>0.9</x:v>
      </x:c>
      <x:c r="Q142" s="23"/>
      <x:c r="R142" s="23"/>
      <x:c r="S142" s="58" t="str">
        <x:v>algorithm_critic: Reference algorithm: sliding time window over ships sorted by t_i, using deque of ship indices and frequency array of size 1e5+; each passenger enqueued and dequeued once, distinct count maintained incr</x:v>
      </x:c>
      <x:c r="T142" s="23" t="str">
        <x:v>runs/run_0IsBDJa58dKOJfHi</x:v>
      </x:c>
    </x:row>
    <x:row r="143" ht="25" customHeight="1">
      <x:c r="A143" s="23" t="str">
        <x:v>run_02P4gM2cIubohU:r000:initial</x:v>
      </x:c>
      <x:c r="B143" s="23" t="str">
        <x:v>run_02P4gM2cIubohU</x:v>
      </x:c>
      <x:c r="C143" s="23" t="str">
        <x:v>noip2016_senior_angrybirds</x:v>
      </x:c>
      <x:c r="D143" s="23" t="str">
        <x:v>愤怒的小鸟</x:v>
      </x:c>
      <x:c r="E143" s="23" t="str">
        <x:v>提高</x:v>
      </x:c>
      <x:c r="F143" s="23" t="str">
        <x:v>initial</x:v>
      </x:c>
      <x:c r="G143" s="23" t="n">
        <x:v>0</x:v>
      </x:c>
      <x:c r="H143" s="23" t="str">
        <x:v>r000</x:v>
      </x:c>
      <x:c r="I143" s="23" t="str">
        <x:v>WA</x:v>
      </x:c>
      <x:c r="J143" s="23" t="n">
        <x:v>19</x:v>
      </x:c>
      <x:c r="K143" s="23" t="n">
        <x:v>20</x:v>
      </x:c>
      <x:c r="L143" s="39" t="b">
        <x:v>0</x:v>
      </x:c>
      <x:c r="M143" s="39" t="b">
        <x:v>0</x:v>
      </x:c>
      <x:c r="N143" s="23" t="str">
        <x:v>S3</x:v>
      </x:c>
      <x:c r="O143" s="23" t="str">
        <x:v>IMPLEMENTATION_MISMATCH</x:v>
      </x:c>
      <x:c r="P143" s="55" t="n">
        <x:v>0.95</x:v>
      </x:c>
      <x:c r="Q143" s="23"/>
      <x:c r="R143" s="23"/>
      <x:c r="S143" s="58" t="str">
        <x:v>deterministic_judge_verdict=WA | judge_failure_pattern=AC:19,WA:1 | judge_exit_codes=0:20</x:v>
      </x:c>
      <x:c r="T143" s="23" t="str">
        <x:v>runs/run_02P4gM2cIubohU</x:v>
      </x:c>
    </x:row>
    <x:row r="144" ht="25" customHeight="1">
      <x:c r="A144" s="23" t="str">
        <x:v>run_02P4gM2cIubohU:r001:proof_001</x:v>
      </x:c>
      <x:c r="B144" s="23" t="str">
        <x:v>run_02P4gM2cIubohU</x:v>
      </x:c>
      <x:c r="C144" s="23" t="str">
        <x:v>noip2016_senior_angrybirds</x:v>
      </x:c>
      <x:c r="D144" s="23" t="str">
        <x:v>愤怒的小鸟</x:v>
      </x:c>
      <x:c r="E144" s="23" t="str">
        <x:v>提高</x:v>
      </x:c>
      <x:c r="F144" s="23" t="str">
        <x:v>repair</x:v>
      </x:c>
      <x:c r="G144" s="23" t="n">
        <x:v>1</x:v>
      </x:c>
      <x:c r="H144" s="23" t="str">
        <x:v>r001</x:v>
      </x:c>
      <x:c r="I144" s="23" t="str">
        <x:v>WA</x:v>
      </x:c>
      <x:c r="J144" s="23" t="n">
        <x:v>19</x:v>
      </x:c>
      <x:c r="K144" s="23" t="n">
        <x:v>20</x:v>
      </x:c>
      <x:c r="L144" s="39" t="b">
        <x:v>0</x:v>
      </x:c>
      <x:c r="M144" s="39" t="b">
        <x:v>0</x:v>
      </x:c>
      <x:c r="N144" s="23" t="str">
        <x:v>S3</x:v>
      </x:c>
      <x:c r="O144" s="23" t="str">
        <x:v>IMPLEMENTATION_MISMATCH</x:v>
      </x:c>
      <x:c r="P144" s="55" t="n">
        <x:v>0.95</x:v>
      </x:c>
      <x:c r="Q144" s="39" t="b">
        <x:v>0</x:v>
      </x:c>
      <x:c r="R144" s="39" t="b">
        <x:v>0</x:v>
      </x:c>
      <x:c r="S144" s="58" t="str">
        <x:v>deterministic_judge_verdict=WA | judge_failure_pattern=AC:19,WA:1 | judge_exit_codes=0:20</x:v>
      </x:c>
      <x:c r="T144" s="23" t="str">
        <x:v>runs/run_02P4gM2cIubohU</x:v>
      </x:c>
    </x:row>
    <x:row r="145" ht="25" customHeight="1">
      <x:c r="A145" s="23" t="str">
        <x:v>run_02P4gM2cIubohU:r002:proof_002</x:v>
      </x:c>
      <x:c r="B145" s="23" t="str">
        <x:v>run_02P4gM2cIubohU</x:v>
      </x:c>
      <x:c r="C145" s="23" t="str">
        <x:v>noip2016_senior_angrybirds</x:v>
      </x:c>
      <x:c r="D145" s="23" t="str">
        <x:v>愤怒的小鸟</x:v>
      </x:c>
      <x:c r="E145" s="23" t="str">
        <x:v>提高</x:v>
      </x:c>
      <x:c r="F145" s="23" t="str">
        <x:v>repair</x:v>
      </x:c>
      <x:c r="G145" s="23" t="n">
        <x:v>2</x:v>
      </x:c>
      <x:c r="H145" s="23" t="str">
        <x:v>r002</x:v>
      </x:c>
      <x:c r="I145" s="23" t="str">
        <x:v>WA</x:v>
      </x:c>
      <x:c r="J145" s="23" t="n">
        <x:v>19</x:v>
      </x:c>
      <x:c r="K145" s="23" t="n">
        <x:v>20</x:v>
      </x:c>
      <x:c r="L145" s="39" t="b">
        <x:v>0</x:v>
      </x:c>
      <x:c r="M145" s="39" t="b">
        <x:v>0</x:v>
      </x:c>
      <x:c r="N145" s="23" t="str">
        <x:v>S3</x:v>
      </x:c>
      <x:c r="O145" s="23" t="str">
        <x:v>PROOF_GAP</x:v>
      </x:c>
      <x:c r="P145" s="55" t="n">
        <x:v>0.9500000000000001</x:v>
      </x:c>
      <x:c r="Q145" s="39" t="b">
        <x:v>0</x:v>
      </x:c>
      <x:c r="R145" s="39" t="b">
        <x:v>0</x:v>
      </x:c>
      <x:c r="S145" s="58" t="str">
        <x:v>deterministic_judge_verdict=WA | judge_failure_pattern=AC:19,WA:1 | judge_exit_codes=0:20</x:v>
      </x:c>
      <x:c r="T145" s="23" t="str">
        <x:v>runs/run_02P4gM2cIubohU</x:v>
      </x:c>
    </x:row>
    <x:row r="146" ht="25" customHeight="1">
      <x:c r="A146" s="23" t="str">
        <x:v>run_99cJxBllXGjBzo7B:r000:initial</x:v>
      </x:c>
      <x:c r="B146" s="23" t="str">
        <x:v>run_99cJxBllXGjBzo7B</x:v>
      </x:c>
      <x:c r="C146" s="23" t="str">
        <x:v>noip2016_senior_earthworm</x:v>
      </x:c>
      <x:c r="D146" s="23" t="str">
        <x:v>蚯蚓</x:v>
      </x:c>
      <x:c r="E146" s="23" t="str">
        <x:v>提高</x:v>
      </x:c>
      <x:c r="F146" s="23" t="str">
        <x:v>initial</x:v>
      </x:c>
      <x:c r="G146" s="23" t="n">
        <x:v>0</x:v>
      </x:c>
      <x:c r="H146" s="23" t="str">
        <x:v>r000</x:v>
      </x:c>
      <x:c r="I146" s="23" t="str">
        <x:v>AC</x:v>
      </x:c>
      <x:c r="J146" s="23" t="n">
        <x:v>20</x:v>
      </x:c>
      <x:c r="K146" s="23" t="n">
        <x:v>20</x:v>
      </x:c>
      <x:c r="L146" s="39" t="b">
        <x:v>1</x:v>
      </x:c>
      <x:c r="M146" s="39" t="b">
        <x:v>1</x:v>
      </x:c>
      <x:c r="N146" s="23"/>
      <x:c r="O146" s="23" t="str">
        <x:v>UNRESOLVED</x:v>
      </x:c>
      <x:c r="P146" s="55" t="n">
        <x:v>0.9</x:v>
      </x:c>
      <x:c r="Q146" s="23"/>
      <x:c r="R146" s="23"/>
      <x:c r="S146" s="58" t="str">
        <x:v>algorithm_critic: Reference algorithm (global offset + three monotonic queues) is correctly specified in all steps; invariants, complexity, termination, and boundary cases are sound and match problem constraints and samp</x:v>
      </x:c>
      <x:c r="T146" s="23" t="str">
        <x:v>runs/run_99cJxBllXGjBzo7B</x:v>
      </x:c>
    </x:row>
    <x:row r="147" ht="25" customHeight="1">
      <x:c r="A147" s="23" t="str">
        <x:v>run_6caACw1IUkzpoaOE:r000:initial</x:v>
      </x:c>
      <x:c r="B147" s="23" t="str">
        <x:v>run_6caACw1IUkzpoaOE</x:v>
      </x:c>
      <x:c r="C147" s="23" t="str">
        <x:v>noip2016_senior_problem</x:v>
      </x:c>
      <x:c r="D147" s="23" t="str">
        <x:v>组合数问题</x:v>
      </x:c>
      <x:c r="E147" s="23" t="str">
        <x:v>普及</x:v>
      </x:c>
      <x:c r="F147" s="23" t="str">
        <x:v>initial</x:v>
      </x:c>
      <x:c r="G147" s="23" t="n">
        <x:v>0</x:v>
      </x:c>
      <x:c r="H147" s="23" t="str">
        <x:v>r000</x:v>
      </x:c>
      <x:c r="I147" s="23" t="str">
        <x:v>AC</x:v>
      </x:c>
      <x:c r="J147" s="23" t="n">
        <x:v>20</x:v>
      </x:c>
      <x:c r="K147" s="23" t="n">
        <x:v>20</x:v>
      </x:c>
      <x:c r="L147" s="39" t="b">
        <x:v>1</x:v>
      </x:c>
      <x:c r="M147" s="39" t="b">
        <x:v>1</x:v>
      </x:c>
      <x:c r="N147" s="23"/>
      <x:c r="O147" s="23" t="str">
        <x:v>UNRESOLVED</x:v>
      </x:c>
      <x:c r="P147" s="55" t="n">
        <x:v>0.9</x:v>
      </x:c>
      <x:c r="Q147" s="23"/>
      <x:c r="R147" s="23"/>
      <x:c r="S147" s="58" t="str">
        <x:v>algorithm_critic: Reference algorithm: precompute Pascal triangle modulo k for i,j≤2000, mark zeros, build 2D prefix sums, answer each query in O(1). All steps S1-S6 are sound; no defect claimed or found. | judge_failure</x:v>
      </x:c>
      <x:c r="T147" s="23" t="str">
        <x:v>runs/run_6caACw1IUkzpoaOE</x:v>
      </x:c>
    </x:row>
    <x:row r="148" ht="25" customHeight="1">
      <x:c r="A148" s="23" t="str">
        <x:v>run_VnsdgSApQFhN5aR9:r000:initial</x:v>
      </x:c>
      <x:c r="B148" s="23" t="str">
        <x:v>run_VnsdgSApQFhN5aR9</x:v>
      </x:c>
      <x:c r="C148" s="23" t="str">
        <x:v>noip2016_senior_toy</x:v>
      </x:c>
      <x:c r="D148" s="23" t="str">
        <x:v>玩具谜题</x:v>
      </x:c>
      <x:c r="E148" s="23" t="str">
        <x:v>普及−</x:v>
      </x:c>
      <x:c r="F148" s="23" t="str">
        <x:v>initial</x:v>
      </x:c>
      <x:c r="G148" s="23" t="n">
        <x:v>0</x:v>
      </x:c>
      <x:c r="H148" s="23" t="str">
        <x:v>r000</x:v>
      </x:c>
      <x:c r="I148" s="23" t="str">
        <x:v>AC</x:v>
      </x:c>
      <x:c r="J148" s="23" t="n">
        <x:v>20</x:v>
      </x:c>
      <x:c r="K148" s="23" t="n">
        <x:v>20</x:v>
      </x:c>
      <x:c r="L148" s="39" t="b">
        <x:v>1</x:v>
      </x:c>
      <x:c r="M148" s="39" t="b">
        <x:v>1</x:v>
      </x:c>
      <x:c r="N148" s="23"/>
      <x:c r="O148" s="23" t="str">
        <x:v>UNRESOLVED</x:v>
      </x:c>
      <x:c r="P148" s="55" t="n">
        <x:v>0.9</x:v>
      </x:c>
      <x:c r="Q148" s="23"/>
      <x:c r="R148" s="23"/>
      <x:c r="S148" s="58" t="str">
        <x:v>algorithm_critic: Reference algorithm: store n figures with direction and occupation in input order (counterclockwise). Start at index 0. For each of m instructions (a,s), compute d=dir[cur]; step = (d==a)? -s : +s; cur </x:v>
      </x:c>
      <x:c r="T148" s="23" t="str">
        <x:v>runs/run_VnsdgSApQFhN5aR9</x:v>
      </x:c>
    </x:row>
    <x:row r="149" ht="25" customHeight="1">
      <x:c r="A149" s="23" t="str">
        <x:v>run_Y7Ys6c6YegTHoMdR:r000:initial</x:v>
      </x:c>
      <x:c r="B149" s="23" t="str">
        <x:v>run_Y7Ys6c6YegTHoMdR</x:v>
      </x:c>
      <x:c r="C149" s="23" t="str">
        <x:v>noip2020_senior_string</x:v>
      </x:c>
      <x:c r="D149" s="23" t="str">
        <x:v>字符串匹配</x:v>
      </x:c>
      <x:c r="E149" s="23" t="str">
        <x:v>提高+/省选−</x:v>
      </x:c>
      <x:c r="F149" s="23" t="str">
        <x:v>initial</x:v>
      </x:c>
      <x:c r="G149" s="23" t="n">
        <x:v>0</x:v>
      </x:c>
      <x:c r="H149" s="23" t="str">
        <x:v>r000</x:v>
      </x:c>
      <x:c r="I149" s="23" t="str">
        <x:v>AC</x:v>
      </x:c>
      <x:c r="J149" s="23" t="n">
        <x:v>25</x:v>
      </x:c>
      <x:c r="K149" s="23" t="n">
        <x:v>25</x:v>
      </x:c>
      <x:c r="L149" s="39" t="b">
        <x:v>1</x:v>
      </x:c>
      <x:c r="M149" s="39" t="b">
        <x:v>0</x:v>
      </x:c>
      <x:c r="N149" s="23" t="str">
        <x:v>S6</x:v>
      </x:c>
      <x:c r="O149" s="23" t="str">
        <x:v>RESULT_CORRECT_PROCESS_INVALID</x:v>
      </x:c>
      <x:c r="P149" s="55" t="n">
        <x:v>0.97</x:v>
      </x:c>
      <x:c r="Q149" s="23"/>
      <x:c r="R149" s="23"/>
      <x:c r="S149" s="58" t="str">
        <x:v>Stated update 'add g[L] after each L' never inserts g[1]. At L=2 the required a range [1,1] is empty in freq, violating the claimed invariant 'freq counts a in [1,L-1]'. Thus ps[fC] omits a=1, undercounting valid schemes</x:v>
      </x:c>
      <x:c r="T149" s="23" t="str">
        <x:v>runs/run_Y7Ys6c6YegTHoMdR</x:v>
      </x:c>
    </x:row>
    <x:row r="150" ht="25" customHeight="1">
      <x:c r="A150" s="23" t="str">
        <x:v>run_Y7Ys6c6YegTHoMdR:r000:proof_001</x:v>
      </x:c>
      <x:c r="B150" s="23" t="str">
        <x:v>run_Y7Ys6c6YegTHoMdR</x:v>
      </x:c>
      <x:c r="C150" s="23" t="str">
        <x:v>noip2020_senior_string</x:v>
      </x:c>
      <x:c r="D150" s="23" t="str">
        <x:v>字符串匹配</x:v>
      </x:c>
      <x:c r="E150" s="23" t="str">
        <x:v>提高+/省选−</x:v>
      </x:c>
      <x:c r="F150" s="23" t="str">
        <x:v>repair</x:v>
      </x:c>
      <x:c r="G150" s="23" t="n">
        <x:v>1</x:v>
      </x:c>
      <x:c r="H150" s="23" t="str">
        <x:v>r000</x:v>
      </x:c>
      <x:c r="I150" s="23" t="str">
        <x:v>AC</x:v>
      </x:c>
      <x:c r="J150" s="23" t="n">
        <x:v>25</x:v>
      </x:c>
      <x:c r="K150" s="23" t="n">
        <x:v>25</x:v>
      </x:c>
      <x:c r="L150" s="39" t="b">
        <x:v>1</x:v>
      </x:c>
      <x:c r="M150" s="39" t="b">
        <x:v>1</x:v>
      </x:c>
      <x:c r="N150" s="23"/>
      <x:c r="O150" s="23" t="str">
        <x:v>UNRESOLVED</x:v>
      </x:c>
      <x:c r="P150" s="55" t="n">
        <x:v>0.9</x:v>
      </x:c>
      <x:c r="Q150" s="39" t="b">
        <x:v>1</x:v>
      </x:c>
      <x:c r="R150" s="39" t="b">
        <x:v>1</x:v>
      </x:c>
      <x:c r="S150" s="58" t="str">
        <x:v>algorithm_critic: Reference algorithm enumerates period length L, split a, repetition i using Z-array for periodicity, maintains prefix parity popcounts and frequency of F(A) to answer F(A)&lt;=F(C) in O(1). All steps verif</x:v>
      </x:c>
      <x:c r="T150" s="23" t="str">
        <x:v>runs/run_Y7Ys6c6YegTHoMdR</x:v>
      </x:c>
    </x:row>
    <x:row r="151" ht="25" customHeight="1">
      <x:c r="A151" s="23" t="str">
        <x:v>run_8QdbRtXFl1h6BVSp:r000:initial</x:v>
      </x:c>
      <x:c r="B151" s="23" t="str">
        <x:v>run_8QdbRtXFl1h6BVSp</x:v>
      </x:c>
      <x:c r="C151" s="23" t="str">
        <x:v>noip2020_senior_water</x:v>
      </x:c>
      <x:c r="D151" s="23" t="str">
        <x:v>排水系统</x:v>
      </x:c>
      <x:c r="E151" s="23" t="str">
        <x:v>普及</x:v>
      </x:c>
      <x:c r="F151" s="23" t="str">
        <x:v>initial</x:v>
      </x:c>
      <x:c r="G151" s="23" t="n">
        <x:v>0</x:v>
      </x:c>
      <x:c r="H151" s="23" t="str">
        <x:v>r000</x:v>
      </x:c>
      <x:c r="I151" s="23" t="str">
        <x:v>AC</x:v>
      </x:c>
      <x:c r="J151" s="23" t="n">
        <x:v>10</x:v>
      </x:c>
      <x:c r="K151" s="23" t="n">
        <x:v>10</x:v>
      </x:c>
      <x:c r="L151" s="39" t="b">
        <x:v>1</x:v>
      </x:c>
      <x:c r="M151" s="39" t="b">
        <x:v>1</x:v>
      </x:c>
      <x:c r="N151" s="23"/>
      <x:c r="O151" s="23" t="str">
        <x:v>UNRESOLVED</x:v>
      </x:c>
      <x:c r="P151" s="55" t="n">
        <x:v>0.9</x:v>
      </x:c>
      <x:c r="Q151" s="23"/>
      <x:c r="R151" s="23"/>
      <x:c r="S151" s="58" t="str">
        <x:v>algorithm_critic: Reference algorithm: topological (Kahn) propagation of sewage as reduced fractions using __int128; all six steps are sound, with correct bounds, termination, and boundary handling. No defect found. | ju</x:v>
      </x:c>
      <x:c r="T151" s="23" t="str">
        <x:v>runs/run_8QdbRtXFl1h6BVSp</x:v>
      </x:c>
    </x:row>
    <x:row r="152" ht="25" customHeight="1">
      <x:c r="A152" s="23" t="str">
        <x:v>run_D72h4ekEJFjHQTp:r000:initial</x:v>
      </x:c>
      <x:c r="B152" s="23" t="str">
        <x:v>run_D72h4ekEJFjHQTp</x:v>
      </x:c>
      <x:c r="C152" s="23" t="str">
        <x:v>noip2021_senior_number</x:v>
      </x:c>
      <x:c r="D152" s="23" t="str">
        <x:v>报数</x:v>
      </x:c>
      <x:c r="E152" s="23" t="str">
        <x:v>普及</x:v>
      </x:c>
      <x:c r="F152" s="23" t="str">
        <x:v>initial</x:v>
      </x:c>
      <x:c r="G152" s="23" t="n">
        <x:v>0</x:v>
      </x:c>
      <x:c r="H152" s="23" t="str">
        <x:v>r000</x:v>
      </x:c>
      <x:c r="I152" s="23" t="str">
        <x:v>AC</x:v>
      </x:c>
      <x:c r="J152" s="23" t="n">
        <x:v>10</x:v>
      </x:c>
      <x:c r="K152" s="23" t="n">
        <x:v>10</x:v>
      </x:c>
      <x:c r="L152" s="39" t="b">
        <x:v>1</x:v>
      </x:c>
      <x:c r="M152" s="39" t="b">
        <x:v>1</x:v>
      </x:c>
      <x:c r="N152" s="23"/>
      <x:c r="O152" s="23" t="str">
        <x:v>UNRESOLVED</x:v>
      </x:c>
      <x:c r="P152" s="55" t="n">
        <x:v>0.9</x:v>
      </x:c>
      <x:c r="Q152" s="23"/>
      <x:c r="R152" s="23"/>
      <x:c r="S152" s="58" t="str">
        <x:v>algorithm_critic: Reference algorithm sieves multiples of numbers containing digit 7 up to 2e7 to flag forbidden numbers, then builds next-valid array for O(1) queries. All steps S1-S5 are mathematically and practically </x:v>
      </x:c>
      <x:c r="T152" s="23" t="str">
        <x:v>runs/run_D72h4ekEJFjHQTp</x:v>
      </x:c>
    </x:row>
    <x:row r="153" ht="25" customHeight="1">
      <x:c r="A153" s="23" t="str">
        <x:v>run_o8A7R6ftssPziSL:r000:initial</x:v>
      </x:c>
      <x:c r="B153" s="23" t="str">
        <x:v>run_o8A7R6ftssPziSL</x:v>
      </x:c>
      <x:c r="C153" s="23" t="str">
        <x:v>noip2021_senior_sequence</x:v>
      </x:c>
      <x:c r="D153" s="23" t="str">
        <x:v>数列</x:v>
      </x:c>
      <x:c r="E153" s="23" t="str">
        <x:v>提高+/省选−</x:v>
      </x:c>
      <x:c r="F153" s="23" t="str">
        <x:v>initial</x:v>
      </x:c>
      <x:c r="G153" s="23" t="n">
        <x:v>0</x:v>
      </x:c>
      <x:c r="H153" s="23" t="str">
        <x:v>r000</x:v>
      </x:c>
      <x:c r="I153" s="23" t="str">
        <x:v>AC</x:v>
      </x:c>
      <x:c r="J153" s="23" t="n">
        <x:v>20</x:v>
      </x:c>
      <x:c r="K153" s="23" t="n">
        <x:v>20</x:v>
      </x:c>
      <x:c r="L153" s="39" t="b">
        <x:v>1</x:v>
      </x:c>
      <x:c r="M153" s="39" t="b">
        <x:v>1</x:v>
      </x:c>
      <x:c r="N153" s="23"/>
      <x:c r="O153" s="23" t="str">
        <x:v>UNRESOLVED</x:v>
      </x:c>
      <x:c r="P153" s="55" t="n">
        <x:v>0.9</x:v>
      </x:c>
      <x:c r="Q153" s="23"/>
      <x:c r="R153" s="23"/>
      <x:c r="S153" s="58" t="str">
        <x:v>algorithm_critic: Reference algorithm is DP over bits 0..m with state (remaining positions, carry, popcount) that enumerates each ordered sequence exactly once with correct weight; all steps S0-S6 are supported, complexi</x:v>
      </x:c>
      <x:c r="T153" s="23" t="str">
        <x:v>runs/run_o8A7R6ftssPziSL</x:v>
      </x:c>
    </x:row>
    <x:row r="154" ht="25" customHeight="1">
      <x:c r="A154" s="23" t="str">
        <x:v>run_NTDFmqoRKKpYRFY2:r000:initial</x:v>
      </x:c>
      <x:c r="B154" s="23" t="str">
        <x:v>run_NTDFmqoRKKpYRFY2</x:v>
      </x:c>
      <x:c r="C154" s="23" t="str">
        <x:v>noip2022_senior_barrack</x:v>
      </x:c>
      <x:c r="D154" s="23" t="str">
        <x:v>建造军营</x:v>
      </x:c>
      <x:c r="E154" s="23" t="str">
        <x:v>提高+/省选−</x:v>
      </x:c>
      <x:c r="F154" s="23" t="str">
        <x:v>initial</x:v>
      </x:c>
      <x:c r="G154" s="23" t="n">
        <x:v>0</x:v>
      </x:c>
      <x:c r="H154" s="23" t="str">
        <x:v>r000</x:v>
      </x:c>
      <x:c r="I154" s="23" t="str">
        <x:v>WA</x:v>
      </x:c>
      <x:c r="J154" s="23" t="n">
        <x:v>0</x:v>
      </x:c>
      <x:c r="K154" s="23" t="n">
        <x:v>20</x:v>
      </x:c>
      <x:c r="L154" s="39" t="b">
        <x:v>0</x:v>
      </x:c>
      <x:c r="M154" s="39" t="b">
        <x:v>0</x:v>
      </x:c>
      <x:c r="N154" s="23" t="str">
        <x:v>S8</x:v>
      </x:c>
      <x:c r="O154" s="23" t="str">
        <x:v>WRONG_ALGORITHM</x:v>
      </x:c>
      <x:c r="P154" s="55" t="n">
        <x:v>0.9866666666666667</x:v>
      </x:c>
      <x:c r="Q154" s="23"/>
      <x:c r="R154" s="23"/>
      <x:c r="S154" s="58" t="str">
        <x:v>deterministic_judge_verdict=WA | judge_failure_pattern=WA:20 | judge_exit_codes=0:20</x:v>
      </x:c>
      <x:c r="T154" s="23" t="str">
        <x:v>runs/run_NTDFmqoRKKpYRFY2</x:v>
      </x:c>
    </x:row>
    <x:row r="155" ht="25" customHeight="1">
      <x:c r="A155" s="23" t="str">
        <x:v>run_NTDFmqoRKKpYRFY2:r001:proof_001</x:v>
      </x:c>
      <x:c r="B155" s="23" t="str">
        <x:v>run_NTDFmqoRKKpYRFY2</x:v>
      </x:c>
      <x:c r="C155" s="23" t="str">
        <x:v>noip2022_senior_barrack</x:v>
      </x:c>
      <x:c r="D155" s="23" t="str">
        <x:v>建造军营</x:v>
      </x:c>
      <x:c r="E155" s="23" t="str">
        <x:v>提高+/省选−</x:v>
      </x:c>
      <x:c r="F155" s="23" t="str">
        <x:v>repair</x:v>
      </x:c>
      <x:c r="G155" s="23" t="n">
        <x:v>1</x:v>
      </x:c>
      <x:c r="H155" s="23" t="str">
        <x:v>r001</x:v>
      </x:c>
      <x:c r="I155" s="23" t="str">
        <x:v>WA</x:v>
      </x:c>
      <x:c r="J155" s="23" t="n">
        <x:v>3</x:v>
      </x:c>
      <x:c r="K155" s="23" t="n">
        <x:v>20</x:v>
      </x:c>
      <x:c r="L155" s="39" t="b">
        <x:v>0</x:v>
      </x:c>
      <x:c r="M155" s="39" t="b">
        <x:v>0</x:v>
      </x:c>
      <x:c r="N155" s="23" t="str">
        <x:v>S8</x:v>
      </x:c>
      <x:c r="O155" s="23" t="str">
        <x:v>WRONG_ALGORITHM</x:v>
      </x:c>
      <x:c r="P155" s="55" t="n">
        <x:v>0.9824999999999999</x:v>
      </x:c>
      <x:c r="Q155" s="39" t="b">
        <x:v>1</x:v>
      </x:c>
      <x:c r="R155" s="39" t="b">
        <x:v>0</x:v>
      </x:c>
      <x:c r="S155" s="58" t="str">
        <x:v>deterministic_judge_verdict=WA | judge_failure_pattern=AC:3,WA:17 | judge_exit_codes=0:20</x:v>
      </x:c>
      <x:c r="T155" s="23" t="str">
        <x:v>runs/run_NTDFmqoRKKpYRFY2</x:v>
      </x:c>
    </x:row>
    <x:row r="156" ht="25" customHeight="1">
      <x:c r="A156" s="23" t="str">
        <x:v>run_NTDFmqoRKKpYRFY2:r002:proof_002</x:v>
      </x:c>
      <x:c r="B156" s="23" t="str">
        <x:v>run_NTDFmqoRKKpYRFY2</x:v>
      </x:c>
      <x:c r="C156" s="23" t="str">
        <x:v>noip2022_senior_barrack</x:v>
      </x:c>
      <x:c r="D156" s="23" t="str">
        <x:v>建造军营</x:v>
      </x:c>
      <x:c r="E156" s="23" t="str">
        <x:v>提高+/省选−</x:v>
      </x:c>
      <x:c r="F156" s="23" t="str">
        <x:v>repair</x:v>
      </x:c>
      <x:c r="G156" s="23" t="n">
        <x:v>2</x:v>
      </x:c>
      <x:c r="H156" s="23" t="str">
        <x:v>r002</x:v>
      </x:c>
      <x:c r="I156" s="23" t="str">
        <x:v>AC</x:v>
      </x:c>
      <x:c r="J156" s="23" t="n">
        <x:v>20</x:v>
      </x:c>
      <x:c r="K156" s="23" t="n">
        <x:v>20</x:v>
      </x:c>
      <x:c r="L156" s="39" t="b">
        <x:v>1</x:v>
      </x:c>
      <x:c r="M156" s="39" t="b">
        <x:v>0</x:v>
      </x:c>
      <x:c r="N156" s="23" t="str">
        <x:v>S4</x:v>
      </x:c>
      <x:c r="O156" s="23" t="str">
        <x:v>RESULT_CORRECT_PROCESS_INVALID</x:v>
      </x:c>
      <x:c r="P156" s="55" t="n">
        <x:v>0.925</x:v>
      </x:c>
      <x:c r="Q156" s="39" t="b">
        <x:v>1</x:v>
      </x:c>
      <x:c r="R156" s="39" t="b">
        <x:v>0</x:v>
      </x:c>
      <x:c r="S156" s="58" t="str">
        <x:v>algorithm_critic: Reference algorithm: compress 2-edge-connected components, build bridge tree, DP over components with half-weight per bridge on paths between selected components, multiply by 2^m. All steps S1-S9 are al</x:v>
      </x:c>
      <x:c r="T156" s="23" t="str">
        <x:v>runs/run_NTDFmqoRKKpYRFY2</x:v>
      </x:c>
    </x:row>
    <x:row r="157" ht="25" customHeight="1">
      <x:c r="A157" s="23" t="str">
        <x:v>run_NTDFmqoRKKpYRFY2:r003:proof_003</x:v>
      </x:c>
      <x:c r="B157" s="23" t="str">
        <x:v>run_NTDFmqoRKKpYRFY2</x:v>
      </x:c>
      <x:c r="C157" s="23" t="str">
        <x:v>noip2022_senior_barrack</x:v>
      </x:c>
      <x:c r="D157" s="23" t="str">
        <x:v>建造军营</x:v>
      </x:c>
      <x:c r="E157" s="23" t="str">
        <x:v>提高+/省选−</x:v>
      </x:c>
      <x:c r="F157" s="23" t="str">
        <x:v>repair</x:v>
      </x:c>
      <x:c r="G157" s="23" t="n">
        <x:v>3</x:v>
      </x:c>
      <x:c r="H157" s="23" t="str">
        <x:v>r003</x:v>
      </x:c>
      <x:c r="I157" s="23" t="str">
        <x:v>AC</x:v>
      </x:c>
      <x:c r="J157" s="23" t="n">
        <x:v>20</x:v>
      </x:c>
      <x:c r="K157" s="23" t="n">
        <x:v>20</x:v>
      </x:c>
      <x:c r="L157" s="39" t="b">
        <x:v>1</x:v>
      </x:c>
      <x:c r="M157" s="39" t="b">
        <x:v>1</x:v>
      </x:c>
      <x:c r="N157" s="23"/>
      <x:c r="O157" s="23" t="str">
        <x:v>UNRESOLVED</x:v>
      </x:c>
      <x:c r="P157" s="55" t="n">
        <x:v>0.9</x:v>
      </x:c>
      <x:c r="Q157" s="39" t="b">
        <x:v>1</x:v>
      </x:c>
      <x:c r="R157" s="39" t="b">
        <x:v>0</x:v>
      </x:c>
      <x:c r="S157" s="58" t="str">
        <x:v>algorithm_critic: Reference algorithm compresses 2-edge-connected components into a bridge tree, then DP over components assigns factor 1/2 per bridge separating selected components; answer = (dp0[root]-1)*2^m mod MOD. A</x:v>
      </x:c>
      <x:c r="T157" s="23" t="str">
        <x:v>runs/run_NTDFmqoRKKpYRFY2</x:v>
      </x:c>
    </x:row>
    <x:row r="158" ht="25" customHeight="1">
      <x:c r="A158" s="23" t="str">
        <x:v>run_ftIlMKTJzO6eGym:r000:initial</x:v>
      </x:c>
      <x:c r="B158" s="23" t="str">
        <x:v>run_ftIlMKTJzO6eGym</x:v>
      </x:c>
      <x:c r="C158" s="23" t="str">
        <x:v>noip2022_senior_plant</x:v>
      </x:c>
      <x:c r="D158" s="23" t="str">
        <x:v>种花</x:v>
      </x:c>
      <x:c r="E158" s="23" t="str">
        <x:v>普及+/提高−</x:v>
      </x:c>
      <x:c r="F158" s="23" t="str">
        <x:v>initial</x:v>
      </x:c>
      <x:c r="G158" s="23" t="n">
        <x:v>0</x:v>
      </x:c>
      <x:c r="H158" s="23" t="str">
        <x:v>r000</x:v>
      </x:c>
      <x:c r="I158" s="23" t="str">
        <x:v>AC</x:v>
      </x:c>
      <x:c r="J158" s="23" t="n">
        <x:v>16</x:v>
      </x:c>
      <x:c r="K158" s="23" t="n">
        <x:v>16</x:v>
      </x:c>
      <x:c r="L158" s="39" t="b">
        <x:v>1</x:v>
      </x:c>
      <x:c r="M158" s="39" t="b">
        <x:v>1</x:v>
      </x:c>
      <x:c r="N158" s="23"/>
      <x:c r="O158" s="23" t="str">
        <x:v>UNRESOLVED</x:v>
      </x:c>
      <x:c r="P158" s="55" t="n">
        <x:v>0.9</x:v>
      </x:c>
      <x:c r="Q158" s="23"/>
      <x:c r="R158" s="23"/>
      <x:c r="S158" s="58" t="str">
        <x:v>algorithm_critic: Reference algorithm counts per column y0 right-extensions h[i], segments column into maximal zero runs, and uses prefix sums to compute C and F contributions in O(Tnm). All five steps are mathematically</x:v>
      </x:c>
      <x:c r="T158" s="23" t="str">
        <x:v>runs/run_ftIlMKTJzO6eGym</x:v>
      </x:c>
    </x:row>
    <x:row r="159" ht="25" customHeight="1">
      <x:c r="A159" s="23" t="str">
        <x:v>run_6lM8esiB5J126bUv:r000:initial</x:v>
      </x:c>
      <x:c r="B159" s="23" t="str">
        <x:v>run_6lM8esiB5J126bUv</x:v>
      </x:c>
      <x:c r="C159" s="23" t="str">
        <x:v>noip2021_senior_chess</x:v>
      </x:c>
      <x:c r="D159" s="23" t="str">
        <x:v>棋局</x:v>
      </x:c>
      <x:c r="E159" s="23" t="str">
        <x:v>NOI/NOI+/CTS</x:v>
      </x:c>
      <x:c r="F159" s="23" t="str">
        <x:v>initial</x:v>
      </x:c>
      <x:c r="G159" s="23" t="n">
        <x:v>0</x:v>
      </x:c>
      <x:c r="H159" s="23" t="str">
        <x:v>r000</x:v>
      </x:c>
      <x:c r="I159" s="23"/>
      <x:c r="J159" s="23"/>
      <x:c r="K159" s="23"/>
      <x:c r="L159" s="39" t="b">
        <x:v>0</x:v>
      </x:c>
      <x:c r="M159" s="39" t="b">
        <x:v>0</x:v>
      </x:c>
      <x:c r="N159" s="23"/>
      <x:c r="O159" s="23" t="str">
        <x:v>COMPILE_ERROR</x:v>
      </x:c>
      <x:c r="P159" s="55" t="n">
        <x:v>1</x:v>
      </x:c>
      <x:c r="Q159" s="23"/>
      <x:c r="R159" s="23"/>
      <x:c r="S159" s="58" t="str">
        <x:v>deterministic_judge_verdict=CE | algorithm_critic: Model review deferred until public validation passes. | code_critic: Model review deferred until public validation passes.</x:v>
      </x:c>
      <x:c r="T159" s="23" t="str">
        <x:v>runs/run_6lM8esiB5J126bUv</x:v>
      </x:c>
    </x:row>
    <x:row r="160" ht="25" customHeight="1">
      <x:c r="A160" s="23" t="str">
        <x:v>run_6lM8esiB5J126bUv:r001:proof_001</x:v>
      </x:c>
      <x:c r="B160" s="23" t="str">
        <x:v>run_6lM8esiB5J126bUv</x:v>
      </x:c>
      <x:c r="C160" s="23" t="str">
        <x:v>noip2021_senior_chess</x:v>
      </x:c>
      <x:c r="D160" s="23" t="str">
        <x:v>棋局</x:v>
      </x:c>
      <x:c r="E160" s="23" t="str">
        <x:v>NOI/NOI+/CTS</x:v>
      </x:c>
      <x:c r="F160" s="23" t="str">
        <x:v>repair</x:v>
      </x:c>
      <x:c r="G160" s="23" t="n">
        <x:v>1</x:v>
      </x:c>
      <x:c r="H160" s="23" t="str">
        <x:v>r001</x:v>
      </x:c>
      <x:c r="I160" s="23" t="str">
        <x:v>RE</x:v>
      </x:c>
      <x:c r="J160" s="23" t="n">
        <x:v>0</x:v>
      </x:c>
      <x:c r="K160" s="23" t="n">
        <x:v>25</x:v>
      </x:c>
      <x:c r="L160" s="39" t="b">
        <x:v>0</x:v>
      </x:c>
      <x:c r="M160" s="39" t="b">
        <x:v>0</x:v>
      </x:c>
      <x:c r="N160" s="23"/>
      <x:c r="O160" s="23" t="str">
        <x:v>RUNTIME_ERROR</x:v>
      </x:c>
      <x:c r="P160" s="55" t="n">
        <x:v>1</x:v>
      </x:c>
      <x:c r="Q160" s="39" t="b">
        <x:v>1</x:v>
      </x:c>
      <x:c r="R160" s="39" t="b">
        <x:v>0</x:v>
      </x:c>
      <x:c r="S160" s="58" t="str">
        <x:v>deterministic_judge_verdict=RE | judge_failure_pattern=RE:25 | judge_exit_codes=139:25</x:v>
      </x:c>
      <x:c r="T160" s="23" t="str">
        <x:v>runs/run_6lM8esiB5J126bUv</x:v>
      </x:c>
    </x:row>
    <x:row r="161" ht="25" customHeight="1">
      <x:c r="A161" s="23" t="str">
        <x:v>run_6lM8esiB5J126bUv:r002:proof_002</x:v>
      </x:c>
      <x:c r="B161" s="23" t="str">
        <x:v>run_6lM8esiB5J126bUv</x:v>
      </x:c>
      <x:c r="C161" s="23" t="str">
        <x:v>noip2021_senior_chess</x:v>
      </x:c>
      <x:c r="D161" s="23" t="str">
        <x:v>棋局</x:v>
      </x:c>
      <x:c r="E161" s="23" t="str">
        <x:v>NOI/NOI+/CTS</x:v>
      </x:c>
      <x:c r="F161" s="23" t="str">
        <x:v>repair</x:v>
      </x:c>
      <x:c r="G161" s="23" t="n">
        <x:v>2</x:v>
      </x:c>
      <x:c r="H161" s="23" t="str">
        <x:v>r002</x:v>
      </x:c>
      <x:c r="I161" s="23" t="str">
        <x:v>TLE</x:v>
      </x:c>
      <x:c r="J161" s="23" t="n">
        <x:v>0</x:v>
      </x:c>
      <x:c r="K161" s="23" t="n">
        <x:v>25</x:v>
      </x:c>
      <x:c r="L161" s="39" t="b">
        <x:v>0</x:v>
      </x:c>
      <x:c r="M161" s="39" t="b">
        <x:v>0</x:v>
      </x:c>
      <x:c r="N161" s="23"/>
      <x:c r="O161" s="23" t="str">
        <x:v>COMPLEXITY_TLE</x:v>
      </x:c>
      <x:c r="P161" s="55" t="n">
        <x:v>1</x:v>
      </x:c>
      <x:c r="Q161" s="39" t="b">
        <x:v>1</x:v>
      </x:c>
      <x:c r="R161" s="39" t="b">
        <x:v>0</x:v>
      </x:c>
      <x:c r="S161" s="58" t="str">
        <x:v>deterministic_judge_verdict=TLE | judge_failure_pattern=TLE:13,WA:12 | judge_exit_codes=0:12,137:13</x:v>
      </x:c>
      <x:c r="T161" s="23" t="str">
        <x:v>runs/run_6lM8esiB5J126bUv</x:v>
      </x:c>
    </x:row>
    <x:row r="162" ht="25" customHeight="1">
      <x:c r="A162" s="23" t="str">
        <x:v>run_6lM8esiB5J126bUv:r003:proof_003</x:v>
      </x:c>
      <x:c r="B162" s="23" t="str">
        <x:v>run_6lM8esiB5J126bUv</x:v>
      </x:c>
      <x:c r="C162" s="23" t="str">
        <x:v>noip2021_senior_chess</x:v>
      </x:c>
      <x:c r="D162" s="23" t="str">
        <x:v>棋局</x:v>
      </x:c>
      <x:c r="E162" s="23" t="str">
        <x:v>NOI/NOI+/CTS</x:v>
      </x:c>
      <x:c r="F162" s="23" t="str">
        <x:v>repair</x:v>
      </x:c>
      <x:c r="G162" s="23" t="n">
        <x:v>3</x:v>
      </x:c>
      <x:c r="H162" s="23" t="str">
        <x:v>r003</x:v>
      </x:c>
      <x:c r="I162" s="23" t="str">
        <x:v>TLE</x:v>
      </x:c>
      <x:c r="J162" s="23" t="n">
        <x:v>5</x:v>
      </x:c>
      <x:c r="K162" s="23" t="n">
        <x:v>25</x:v>
      </x:c>
      <x:c r="L162" s="39" t="b">
        <x:v>0</x:v>
      </x:c>
      <x:c r="M162" s="39" t="b">
        <x:v>0</x:v>
      </x:c>
      <x:c r="N162" s="23"/>
      <x:c r="O162" s="23" t="str">
        <x:v>COMPLEXITY_TLE</x:v>
      </x:c>
      <x:c r="P162" s="55" t="n">
        <x:v>1</x:v>
      </x:c>
      <x:c r="Q162" s="39" t="b">
        <x:v>1</x:v>
      </x:c>
      <x:c r="R162" s="39" t="b">
        <x:v>0</x:v>
      </x:c>
      <x:c r="S162" s="58" t="str">
        <x:v>deterministic_judge_verdict=TLE | judge_failure_pattern=AC:5,TLE:13,WA:7 | judge_exit_codes=0:12,137:13</x:v>
      </x:c>
      <x:c r="T162" s="23" t="str">
        <x:v>runs/run_6lM8esiB5J126bUv</x:v>
      </x:c>
    </x:row>
    <x:row r="163" ht="25" customHeight="1">
      <x:c r="A163" s="23" t="str">
        <x:v>run_6lM8esiB5J126bUv:r004:proof_004</x:v>
      </x:c>
      <x:c r="B163" s="23" t="str">
        <x:v>run_6lM8esiB5J126bUv</x:v>
      </x:c>
      <x:c r="C163" s="23" t="str">
        <x:v>noip2021_senior_chess</x:v>
      </x:c>
      <x:c r="D163" s="23" t="str">
        <x:v>棋局</x:v>
      </x:c>
      <x:c r="E163" s="23" t="str">
        <x:v>NOI/NOI+/CTS</x:v>
      </x:c>
      <x:c r="F163" s="23" t="str">
        <x:v>repair</x:v>
      </x:c>
      <x:c r="G163" s="23" t="n">
        <x:v>4</x:v>
      </x:c>
      <x:c r="H163" s="23" t="str">
        <x:v>r004</x:v>
      </x:c>
      <x:c r="I163" s="23" t="str">
        <x:v>TLE</x:v>
      </x:c>
      <x:c r="J163" s="23" t="n">
        <x:v>5</x:v>
      </x:c>
      <x:c r="K163" s="23" t="n">
        <x:v>25</x:v>
      </x:c>
      <x:c r="L163" s="39" t="b">
        <x:v>0</x:v>
      </x:c>
      <x:c r="M163" s="39" t="b">
        <x:v>0</x:v>
      </x:c>
      <x:c r="N163" s="23"/>
      <x:c r="O163" s="23" t="str">
        <x:v>COMPLEXITY_TLE</x:v>
      </x:c>
      <x:c r="P163" s="55" t="n">
        <x:v>1</x:v>
      </x:c>
      <x:c r="Q163" s="39" t="b">
        <x:v>0</x:v>
      </x:c>
      <x:c r="R163" s="39" t="b">
        <x:v>0</x:v>
      </x:c>
      <x:c r="S163" s="58" t="str">
        <x:v>deterministic_judge_verdict=TLE | judge_failure_pattern=AC:5,TLE:13,WA:7 | judge_exit_codes=0:12,137:13</x:v>
      </x:c>
      <x:c r="T163" s="23" t="str">
        <x:v>runs/run_6lM8esiB5J126bUv</x:v>
      </x:c>
    </x:row>
    <x:row r="164" ht="25" customHeight="1">
      <x:c r="A164" s="23" t="str">
        <x:v>run_6lM8esiB5J126bUv:r005:proof_005</x:v>
      </x:c>
      <x:c r="B164" s="23" t="str">
        <x:v>run_6lM8esiB5J126bUv</x:v>
      </x:c>
      <x:c r="C164" s="23" t="str">
        <x:v>noip2021_senior_chess</x:v>
      </x:c>
      <x:c r="D164" s="23" t="str">
        <x:v>棋局</x:v>
      </x:c>
      <x:c r="E164" s="23" t="str">
        <x:v>NOI/NOI+/CTS</x:v>
      </x:c>
      <x:c r="F164" s="23" t="str">
        <x:v>repair</x:v>
      </x:c>
      <x:c r="G164" s="23" t="n">
        <x:v>5</x:v>
      </x:c>
      <x:c r="H164" s="23" t="str">
        <x:v>r005</x:v>
      </x:c>
      <x:c r="I164" s="23" t="str">
        <x:v>TLE</x:v>
      </x:c>
      <x:c r="J164" s="23" t="n">
        <x:v>5</x:v>
      </x:c>
      <x:c r="K164" s="23" t="n">
        <x:v>25</x:v>
      </x:c>
      <x:c r="L164" s="39" t="b">
        <x:v>0</x:v>
      </x:c>
      <x:c r="M164" s="39" t="b">
        <x:v>0</x:v>
      </x:c>
      <x:c r="N164" s="23"/>
      <x:c r="O164" s="23" t="str">
        <x:v>COMPLEXITY_TLE</x:v>
      </x:c>
      <x:c r="P164" s="55" t="n">
        <x:v>1</x:v>
      </x:c>
      <x:c r="Q164" s="39" t="b">
        <x:v>0</x:v>
      </x:c>
      <x:c r="R164" s="39" t="b">
        <x:v>0</x:v>
      </x:c>
      <x:c r="S164" s="58" t="str">
        <x:v>deterministic_judge_verdict=TLE | judge_failure_pattern=AC:5,TLE:11,WA:9 | judge_exit_codes=0:14,137:11</x:v>
      </x:c>
      <x:c r="T164" s="23" t="str">
        <x:v>runs/run_6lM8esiB5J126bUv</x:v>
      </x:c>
    </x:row>
    <x:row r="165" ht="25" customHeight="1">
      <x:c r="A165" s="23" t="str">
        <x:v>run_OVXoF70wwqzDYVk:r000:initial</x:v>
      </x:c>
      <x:c r="B165" s="23" t="str">
        <x:v>run_OVXoF70wwqzDYVk</x:v>
      </x:c>
      <x:c r="C165" s="23" t="str">
        <x:v>csps2020_senior_zoo</x:v>
      </x:c>
      <x:c r="D165" s="23" t="str">
        <x:v>动物园</x:v>
      </x:c>
      <x:c r="E165" s="23" t="str">
        <x:v>普及</x:v>
      </x:c>
      <x:c r="F165" s="23" t="str">
        <x:v>initial</x:v>
      </x:c>
      <x:c r="G165" s="23" t="n">
        <x:v>0</x:v>
      </x:c>
      <x:c r="H165" s="23" t="str">
        <x:v>r000</x:v>
      </x:c>
      <x:c r="I165" s="23" t="str">
        <x:v>AC</x:v>
      </x:c>
      <x:c r="J165" s="23" t="n">
        <x:v>20</x:v>
      </x:c>
      <x:c r="K165" s="23" t="n">
        <x:v>20</x:v>
      </x:c>
      <x:c r="L165" s="39" t="b">
        <x:v>1</x:v>
      </x:c>
      <x:c r="M165" s="39" t="b">
        <x:v>1</x:v>
      </x:c>
      <x:c r="N165" s="23"/>
      <x:c r="O165" s="23" t="str">
        <x:v>UNRESOLVED</x:v>
      </x:c>
      <x:c r="P165" s="55" t="n">
        <x:v>0.9</x:v>
      </x:c>
      <x:c r="Q165" s="23"/>
      <x:c r="R165" s="23"/>
      <x:c r="S165" s="58" t="str">
        <x:v>algorithm_critic: Reference algorithm: compute OR-mask of bred animal IDs, mark rule bits not covered, count free bits u, answer 2^{k-u}-n. All steps S1-S7 are correct with O(n+m) time, O(1) auxiliary space, proper termi</x:v>
      </x:c>
      <x:c r="T165" s="23" t="str">
        <x:v>runs/run_OVXoF70wwqzDYVk</x:v>
      </x:c>
    </x:row>
    <x:row r="166" ht="25" customHeight="1">
      <x:c r="A166" s="23" t="str">
        <x:v>run_m4f2CLks1kqFAPhO:r000:initial</x:v>
      </x:c>
      <x:c r="B166" s="23" t="str">
        <x:v>run_m4f2CLks1kqFAPhO</x:v>
      </x:c>
      <x:c r="C166" s="23" t="str">
        <x:v>csps2021_senior_airport</x:v>
      </x:c>
      <x:c r="D166" s="23" t="str">
        <x:v>廊桥分配</x:v>
      </x:c>
      <x:c r="E166" s="23" t="str">
        <x:v>普及+/提高−</x:v>
      </x:c>
      <x:c r="F166" s="23" t="str">
        <x:v>initial</x:v>
      </x:c>
      <x:c r="G166" s="23" t="n">
        <x:v>0</x:v>
      </x:c>
      <x:c r="H166" s="23" t="str">
        <x:v>r000</x:v>
      </x:c>
      <x:c r="I166" s="23" t="str">
        <x:v>WA</x:v>
      </x:c>
      <x:c r="J166" s="23" t="n">
        <x:v>5</x:v>
      </x:c>
      <x:c r="K166" s="23" t="n">
        <x:v>20</x:v>
      </x:c>
      <x:c r="L166" s="39" t="b">
        <x:v>0</x:v>
      </x:c>
      <x:c r="M166" s="39" t="b">
        <x:v>0</x:v>
      </x:c>
      <x:c r="N166" s="23" t="str">
        <x:v>S2</x:v>
      </x:c>
      <x:c r="O166" s="23" t="str">
        <x:v>WRONG_ALGORITHM</x:v>
      </x:c>
      <x:c r="P166" s="55" t="n">
        <x:v>0.9640000000000001</x:v>
      </x:c>
      <x:c r="Q166" s="23"/>
      <x:c r="R166" s="23"/>
      <x:c r="S166" s="58" t="str">
        <x:v>deterministic_judge_verdict=WA | judge_failure_pattern=AC:5,WA:15 | judge_exit_codes=0:20</x:v>
      </x:c>
      <x:c r="T166" s="23" t="str">
        <x:v>runs/run_m4f2CLks1kqFAPhO</x:v>
      </x:c>
    </x:row>
    <x:row r="167" ht="25" customHeight="1">
      <x:c r="A167" s="23" t="str">
        <x:v>run_m4f2CLks1kqFAPhO:r001:proof_001</x:v>
      </x:c>
      <x:c r="B167" s="23" t="str">
        <x:v>run_m4f2CLks1kqFAPhO</x:v>
      </x:c>
      <x:c r="C167" s="23" t="str">
        <x:v>csps2021_senior_airport</x:v>
      </x:c>
      <x:c r="D167" s="23" t="str">
        <x:v>廊桥分配</x:v>
      </x:c>
      <x:c r="E167" s="23" t="str">
        <x:v>普及+/提高−</x:v>
      </x:c>
      <x:c r="F167" s="23" t="str">
        <x:v>repair</x:v>
      </x:c>
      <x:c r="G167" s="23" t="n">
        <x:v>1</x:v>
      </x:c>
      <x:c r="H167" s="23" t="str">
        <x:v>r001</x:v>
      </x:c>
      <x:c r="I167" s="23" t="str">
        <x:v>AC</x:v>
      </x:c>
      <x:c r="J167" s="23" t="n">
        <x:v>20</x:v>
      </x:c>
      <x:c r="K167" s="23" t="n">
        <x:v>20</x:v>
      </x:c>
      <x:c r="L167" s="39" t="b">
        <x:v>1</x:v>
      </x:c>
      <x:c r="M167" s="39" t="b">
        <x:v>1</x:v>
      </x:c>
      <x:c r="N167" s="23"/>
      <x:c r="O167" s="23" t="str">
        <x:v>UNRESOLVED</x:v>
      </x:c>
      <x:c r="P167" s="55" t="n">
        <x:v>0.9</x:v>
      </x:c>
      <x:c r="Q167" s="39" t="b">
        <x:v>1</x:v>
      </x:c>
      <x:c r="R167" s="39" t="b">
        <x:v>0</x:v>
      </x:c>
      <x:c r="S167" s="58" t="str">
        <x:v>algorithm_critic: Reference algorithm: independently for each zone, assign each flight a bridge index via greedy smallest-free-id simulation on sorted arrivals; count prefix sums per bridge count; maximize cnt_dom[k]+cnt</x:v>
      </x:c>
      <x:c r="T167" s="23" t="str">
        <x:v>runs/run_m4f2CLks1kqFAPhO</x:v>
      </x:c>
    </x:row>
    <x:row r="168" ht="25" customHeight="1">
      <x:c r="A168" s="23" t="str">
        <x:v>run_XxizWkxoD2IJCvM:r000:initial</x:v>
      </x:c>
      <x:c r="B168" s="23" t="str">
        <x:v>run_XxizWkxoD2IJCvM</x:v>
      </x:c>
      <x:c r="C168" s="23" t="str">
        <x:v>csps2021_senior_bracket</x:v>
      </x:c>
      <x:c r="D168" s="23" t="str">
        <x:v>括号序列</x:v>
      </x:c>
      <x:c r="E168" s="23" t="str">
        <x:v>提高+/省选−</x:v>
      </x:c>
      <x:c r="F168" s="23" t="str">
        <x:v>initial</x:v>
      </x:c>
      <x:c r="G168" s="23" t="n">
        <x:v>0</x:v>
      </x:c>
      <x:c r="H168" s="23" t="str">
        <x:v>r000</x:v>
      </x:c>
      <x:c r="I168" s="23" t="str">
        <x:v>AC</x:v>
      </x:c>
      <x:c r="J168" s="23" t="n">
        <x:v>20</x:v>
      </x:c>
      <x:c r="K168" s="23" t="n">
        <x:v>20</x:v>
      </x:c>
      <x:c r="L168" s="39" t="b">
        <x:v>1</x:v>
      </x:c>
      <x:c r="M168" s="39" t="b">
        <x:v>1</x:v>
      </x:c>
      <x:c r="N168" s="23"/>
      <x:c r="O168" s="23" t="str">
        <x:v>UNRESOLVED</x:v>
      </x:c>
      <x:c r="P168" s="55" t="n">
        <x:v>0.9</x:v>
      </x:c>
      <x:c r="Q168" s="23"/>
      <x:c r="R168" s="23"/>
      <x:c r="S168" s="58" t="str">
        <x:v>algorithm_critic: Reference algorithm is interval DP with star precomputation and states f (valid sequence), h (inner content), w (tail). Unique first-unit decomposition covers all generative rules; loops increase length</x:v>
      </x:c>
      <x:c r="T168" s="23" t="str">
        <x:v>runs/run_XxizWkxoD2IJCvM</x:v>
      </x:c>
    </x:row>
    <x:row r="169" ht="25" customHeight="1">
      <x:c r="A169" s="23" t="str">
        <x:v>run_ogSNVlvSTdibvV9T:r000:initial</x:v>
      </x:c>
      <x:c r="B169" s="23" t="str">
        <x:v>run_ogSNVlvSTdibvV9T</x:v>
      </x:c>
      <x:c r="C169" s="23" t="str">
        <x:v>csps2024_senior_detect</x:v>
      </x:c>
      <x:c r="D169" s="23" t="str">
        <x:v>超速检测</x:v>
      </x:c>
      <x:c r="E169" s="23" t="str">
        <x:v>普及+/提高−</x:v>
      </x:c>
      <x:c r="F169" s="23" t="str">
        <x:v>initial</x:v>
      </x:c>
      <x:c r="G169" s="23" t="n">
        <x:v>0</x:v>
      </x:c>
      <x:c r="H169" s="23" t="str">
        <x:v>r000</x:v>
      </x:c>
      <x:c r="I169" s="23" t="str">
        <x:v>WA</x:v>
      </x:c>
      <x:c r="J169" s="23" t="n">
        <x:v>4</x:v>
      </x:c>
      <x:c r="K169" s="23" t="n">
        <x:v>10</x:v>
      </x:c>
      <x:c r="L169" s="39" t="b">
        <x:v>0</x:v>
      </x:c>
      <x:c r="M169" s="39" t="b">
        <x:v>0</x:v>
      </x:c>
      <x:c r="N169" s="23" t="str">
        <x:v>S3</x:v>
      </x:c>
      <x:c r="O169" s="23" t="str">
        <x:v>WRONG_ALGORITHM</x:v>
      </x:c>
      <x:c r="P169" s="55" t="n">
        <x:v>1</x:v>
      </x:c>
      <x:c r="Q169" s="23"/>
      <x:c r="R169" s="23"/>
      <x:c r="S169" s="58" t="str">
        <x:v>deterministic_judge_verdict=WA | judge_failure_pattern=AC:4,WA:6 | judge_exit_codes=0:10</x:v>
      </x:c>
      <x:c r="T169" s="23" t="str">
        <x:v>runs/run_ogSNVlvSTdibvV9T</x:v>
      </x:c>
    </x:row>
    <x:row r="170" ht="25" customHeight="1">
      <x:c r="A170" s="23" t="str">
        <x:v>run_ogSNVlvSTdibvV9T:r001:proof_001</x:v>
      </x:c>
      <x:c r="B170" s="23" t="str">
        <x:v>run_ogSNVlvSTdibvV9T</x:v>
      </x:c>
      <x:c r="C170" s="23" t="str">
        <x:v>csps2024_senior_detect</x:v>
      </x:c>
      <x:c r="D170" s="23" t="str">
        <x:v>超速检测</x:v>
      </x:c>
      <x:c r="E170" s="23" t="str">
        <x:v>普及+/提高−</x:v>
      </x:c>
      <x:c r="F170" s="23" t="str">
        <x:v>repair</x:v>
      </x:c>
      <x:c r="G170" s="23" t="n">
        <x:v>1</x:v>
      </x:c>
      <x:c r="H170" s="23" t="str">
        <x:v>r001</x:v>
      </x:c>
      <x:c r="I170" s="23" t="str">
        <x:v>AC</x:v>
      </x:c>
      <x:c r="J170" s="23" t="n">
        <x:v>10</x:v>
      </x:c>
      <x:c r="K170" s="23" t="n">
        <x:v>10</x:v>
      </x:c>
      <x:c r="L170" s="39" t="b">
        <x:v>1</x:v>
      </x:c>
      <x:c r="M170" s="39" t="b">
        <x:v>1</x:v>
      </x:c>
      <x:c r="N170" s="23"/>
      <x:c r="O170" s="23" t="str">
        <x:v>UNRESOLVED</x:v>
      </x:c>
      <x:c r="P170" s="55" t="n">
        <x:v>0.9</x:v>
      </x:c>
      <x:c r="Q170" s="39" t="b">
        <x:v>1</x:v>
      </x:c>
      <x:c r="R170" s="39" t="b">
        <x:v>0</x:v>
      </x:c>
      <x:c r="S170" s="58" t="str">
        <x:v>algorithm_critic: Reference algorithm: per car compute speeding detector index interval via integer inequality 2a(p-d)&gt;V^2-v_i^2 on suffix p&gt;=d, monotonic per sign; task1 counts non-empty intervals; task2 greedy hits int</x:v>
      </x:c>
      <x:c r="T170" s="23" t="str">
        <x:v>runs/run_ogSNVlvSTdibvV9T</x:v>
      </x:c>
    </x:row>
    <x:row r="171" ht="25" customHeight="1">
      <x:c r="A171" s="23" t="str">
        <x:v>run_DkeCIJ2mX9q7Lnl:r000:initial</x:v>
      </x:c>
      <x:c r="B171" s="23" t="str">
        <x:v>run_DkeCIJ2mX9q7Lnl</x:v>
      </x:c>
      <x:c r="C171" s="23" t="str">
        <x:v>csps2024_senior_duel</x:v>
      </x:c>
      <x:c r="D171" s="23" t="str">
        <x:v>决斗</x:v>
      </x:c>
      <x:c r="E171" s="23" t="str">
        <x:v>普及−</x:v>
      </x:c>
      <x:c r="F171" s="23" t="str">
        <x:v>initial</x:v>
      </x:c>
      <x:c r="G171" s="23" t="n">
        <x:v>0</x:v>
      </x:c>
      <x:c r="H171" s="23" t="str">
        <x:v>r000</x:v>
      </x:c>
      <x:c r="I171" s="23" t="str">
        <x:v>AC</x:v>
      </x:c>
      <x:c r="J171" s="23" t="n">
        <x:v>20</x:v>
      </x:c>
      <x:c r="K171" s="23" t="n">
        <x:v>20</x:v>
      </x:c>
      <x:c r="L171" s="39" t="b">
        <x:v>1</x:v>
      </x:c>
      <x:c r="M171" s="39" t="b">
        <x:v>1</x:v>
      </x:c>
      <x:c r="N171" s="23"/>
      <x:c r="O171" s="23" t="str">
        <x:v>UNRESOLVED</x:v>
      </x:c>
      <x:c r="P171" s="55" t="n">
        <x:v>0.9</x:v>
      </x:c>
      <x:c r="Q171" s="23"/>
      <x:c r="R171" s="23"/>
      <x:c r="S171" s="58" t="str">
        <x:v>algorithm_critic: Reference algorithm: count frequencies of r_i; answer = max frequency. Steps correctly model game as path graph, derive recurrence S=max(S,count(r)) over decreasing r, and implement frequency array with</x:v>
      </x:c>
      <x:c r="T171" s="23" t="str">
        <x:v>runs/run_DkeCIJ2mX9q7Lnl</x:v>
      </x:c>
    </x:row>
    <x:row r="172" ht="25" customHeight="1">
      <x:c r="A172" s="23" t="str">
        <x:v>run_pIvid6bvH23GS:r000:initial</x:v>
      </x:c>
      <x:c r="B172" s="23" t="str">
        <x:v>run_pIvid6bvH23GS</x:v>
      </x:c>
      <x:c r="C172" s="23" t="str">
        <x:v>noip2015_senior_message</x:v>
      </x:c>
      <x:c r="D172" s="23" t="str">
        <x:v>信息传递</x:v>
      </x:c>
      <x:c r="E172" s="23" t="str">
        <x:v>普及</x:v>
      </x:c>
      <x:c r="F172" s="23" t="str">
        <x:v>initial</x:v>
      </x:c>
      <x:c r="G172" s="23" t="n">
        <x:v>0</x:v>
      </x:c>
      <x:c r="H172" s="23" t="str">
        <x:v>r000</x:v>
      </x:c>
      <x:c r="I172" s="23" t="str">
        <x:v>AC</x:v>
      </x:c>
      <x:c r="J172" s="23" t="n">
        <x:v>10</x:v>
      </x:c>
      <x:c r="K172" s="23" t="n">
        <x:v>10</x:v>
      </x:c>
      <x:c r="L172" s="39" t="b">
        <x:v>1</x:v>
      </x:c>
      <x:c r="M172" s="39" t="b">
        <x:v>1</x:v>
      </x:c>
      <x:c r="N172" s="23"/>
      <x:c r="O172" s="23" t="str">
        <x:v>UNRESOLVED</x:v>
      </x:c>
      <x:c r="P172" s="55" t="n">
        <x:v>0.9</x:v>
      </x:c>
      <x:c r="Q172" s="23"/>
      <x:c r="R172" s="23"/>
      <x:c r="S172" s="58" t="str">
        <x:v>algorithm_critic: The solution correctly models synchronous propagation as iterates on a functional graph, proves termination equals shortest directed cycle length, and proposes O(n) topological tree removal plus cycle t</x:v>
      </x:c>
      <x:c r="T172" s="23" t="str">
        <x:v>runs/run_pIvid6bvH23GS</x:v>
      </x:c>
    </x:row>
    <x:row r="173" ht="25" customHeight="1">
      <x:c r="A173" s="25" t="str">
        <x:v>run_vcHjYi4YneuEcoc:r000:initial</x:v>
      </x:c>
      <x:c r="B173" s="25" t="str">
        <x:v>run_vcHjYi4YneuEcoc</x:v>
      </x:c>
      <x:c r="C173" s="25" t="str">
        <x:v>noip2016_junior_date</x:v>
      </x:c>
      <x:c r="D173" s="25" t="str">
        <x:v>回文日期</x:v>
      </x:c>
      <x:c r="E173" s="25" t="str">
        <x:v>普及−</x:v>
      </x:c>
      <x:c r="F173" s="25" t="str">
        <x:v>initial</x:v>
      </x:c>
      <x:c r="G173" s="25" t="n">
        <x:v>0</x:v>
      </x:c>
      <x:c r="H173" s="25" t="str">
        <x:v>r000</x:v>
      </x:c>
      <x:c r="I173" s="25" t="str">
        <x:v>AC</x:v>
      </x:c>
      <x:c r="J173" s="25" t="n">
        <x:v>10</x:v>
      </x:c>
      <x:c r="K173" s="25" t="n">
        <x:v>10</x:v>
      </x:c>
      <x:c r="L173" s="40" t="b">
        <x:v>1</x:v>
      </x:c>
      <x:c r="M173" s="40" t="b">
        <x:v>1</x:v>
      </x:c>
      <x:c r="N173" s="25"/>
      <x:c r="O173" s="25" t="str">
        <x:v>UNRESOLVED</x:v>
      </x:c>
      <x:c r="P173" s="56" t="n">
        <x:v>0.9</x:v>
      </x:c>
      <x:c r="Q173" s="25"/>
      <x:c r="R173" s="25"/>
      <x:c r="S173" s="59" t="str">
        <x:v>algorithm_critic: Reference algorithm enumerates years 1000-9999, derives palindrome month/day as reverse of year digits, validates real date via leap/month rules, and counts those within [date1,date2] using lexicographi</x:v>
      </x:c>
      <x:c r="T173" s="25" t="str">
        <x:v>runs/run_vcHjYi4YneuEcoc</x:v>
      </x:c>
    </x:row>
  </x:sheetData>
  <x:pageMargins left="0.7" right="0.7" top="0.75" bottom="0.75" header="0.3" footer="0.3"/>
  <x:tableParts count="1">
    <x:tablePart xmlns:r="http://schemas.openxmlformats.org/officeDocument/2006/relationships" r:id="R3936a890615c41a2"/>
  </x:tableParts>
</x:worksheet>
</file>

<file path=xl/worksheets/sheet5.xml><?xml version="1.0" encoding="utf-8"?>
<x:worksheet xmlns:x="http://schemas.openxmlformats.org/spreadsheetml/2006/main">
  <x:sheetPr>
    <x:tabColor rgb="FFB0BEC5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7" hidden="0" customWidth="1"/>
    <x:col min="4" max="4" width="20" hidden="0" customWidth="1"/>
    <x:col min="5" max="5" width="20" hidden="0" customWidth="1"/>
    <x:col min="6" max="6" width="20" hidden="0" customWidth="1"/>
    <x:col min="7" max="7" width="30" hidden="0" customWidth="1"/>
    <x:col min="8" max="8" width="20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2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6" hidden="0" customWidth="1"/>
    <x:col min="31" max="31" width="34" hidden="0" customWidth="1"/>
  </x:cols>
  <x:sheetData>
    <x:row r="1" ht="30" customHeight="1">
      <x:c r="A1" s="17" t="str">
        <x:v>运行 ID</x:v>
      </x:c>
      <x:c r="B1" s="18" t="str">
        <x:v>题目 ID</x:v>
      </x:c>
      <x:c r="C1" s="18" t="str">
        <x:v>题目</x:v>
      </x:c>
      <x:c r="D1" s="18" t="str">
        <x:v>数据集</x:v>
      </x:c>
      <x:c r="E1" s="18" t="str">
        <x:v>难度</x:v>
      </x:c>
      <x:c r="F1" s="18" t="str">
        <x:v>难度来源</x:v>
      </x:c>
      <x:c r="G1" s="18" t="str">
        <x:v>活动批次</x:v>
      </x:c>
      <x:c r="H1" s="18" t="str">
        <x:v>创建时间</x:v>
      </x:c>
      <x:c r="I1" s="18" t="str">
        <x:v>停止原因</x:v>
      </x:c>
      <x:c r="J1" s="18" t="str">
        <x:v>Judge</x:v>
      </x:c>
      <x:c r="K1" s="18" t="str">
        <x:v>通过</x:v>
      </x:c>
      <x:c r="L1" s="18" t="str">
        <x:v>总数</x:v>
      </x:c>
      <x:c r="M1" s="18" t="str">
        <x:v>分数</x:v>
      </x:c>
      <x:c r="N1" s="18" t="str">
        <x:v>答案正确(1/0)</x:v>
      </x:c>
      <x:c r="O1" s="18" t="str">
        <x:v>过程正确(1/0)</x:v>
      </x:c>
      <x:c r="P1" s="18" t="str">
        <x:v>严格成功(1/0)</x:v>
      </x:c>
      <x:c r="Q1" s="18" t="str">
        <x:v>答案正确但过程无效(1/0)</x:v>
      </x:c>
      <x:c r="R1" s="18" t="str">
        <x:v>错误类型</x:v>
      </x:c>
      <x:c r="S1" s="18" t="str">
        <x:v>首错步骤</x:v>
      </x:c>
      <x:c r="T1" s="18" t="str">
        <x:v>初始 Judge</x:v>
      </x:c>
      <x:c r="U1" s="18" t="str">
        <x:v>初始通过</x:v>
      </x:c>
      <x:c r="V1" s="18" t="str">
        <x:v>初始总数</x:v>
      </x:c>
      <x:c r="W1" s="18" t="str">
        <x:v>初始分数</x:v>
      </x:c>
      <x:c r="X1" s="18" t="str">
        <x:v>初始答案正确(1/0)</x:v>
      </x:c>
      <x:c r="Y1" s="18" t="str">
        <x:v>初始过程正确(1/0)</x:v>
      </x:c>
      <x:c r="Z1" s="18" t="str">
        <x:v>修复轮数</x:v>
      </x:c>
      <x:c r="AA1" s="18" t="str">
        <x:v>修复尝试</x:v>
      </x:c>
      <x:c r="AB1" s="18" t="str">
        <x:v>修复成功</x:v>
      </x:c>
      <x:c r="AC1" s="18" t="str">
        <x:v>模型调用</x:v>
      </x:c>
      <x:c r="AD1" s="18" t="str">
        <x:v>记录 token</x:v>
      </x:c>
      <x:c r="AE1" s="19" t="str">
        <x:v>来源</x:v>
      </x:c>
    </x:row>
    <x:row r="2">
      <x:c r="A2" s="21" t="str">
        <x:v>run_U3dSbFG7mYQvk1i</x:v>
      </x:c>
      <x:c r="B2" s="21" t="str">
        <x:v>money</x:v>
      </x:c>
      <x:c r="C2" s="21" t="str">
        <x:v>货币系统</x:v>
      </x:c>
      <x:c r="D2" s="21" t="str">
        <x:v>noip2018</x:v>
      </x:c>
      <x:c r="E2" s="21" t="str">
        <x:v>普及+/提高−</x:v>
      </x:c>
      <x:c r="F2" s="21" t="str">
        <x:v>current_manifest_backfill</x:v>
      </x:c>
      <x:c r="G2" s="21"/>
      <x:c r="H2" s="60" t="n">
        <x:v>46259.360053819444</x:v>
      </x:c>
      <x:c r="I2" s="21" t="str">
        <x:v>STALLED</x:v>
      </x:c>
      <x:c r="J2" s="21" t="str">
        <x:v>RE</x:v>
      </x:c>
      <x:c r="K2" s="21" t="n">
        <x:v>0</x:v>
      </x:c>
      <x:c r="L2" s="21" t="n">
        <x:v>20</x:v>
      </x:c>
      <x:c r="M2" s="63" t="n">
        <x:v>0</x:v>
      </x:c>
      <x:c r="N2" s="21" t="n">
        <x:v>0</x:v>
      </x:c>
      <x:c r="O2" s="21" t="n">
        <x:v>1</x:v>
      </x:c>
      <x:c r="P2" s="21" t="n">
        <x:v>0</x:v>
      </x:c>
      <x:c r="Q2" s="21" t="n">
        <x:v>0</x:v>
      </x:c>
      <x:c r="R2" s="21" t="str">
        <x:v>RUNTIME_ERROR</x:v>
      </x:c>
      <x:c r="S2" s="21"/>
      <x:c r="T2" s="21" t="str">
        <x:v>RE</x:v>
      </x:c>
      <x:c r="U2" s="21" t="n">
        <x:v>0</x:v>
      </x:c>
      <x:c r="V2" s="21" t="n">
        <x:v>20</x:v>
      </x:c>
      <x:c r="W2" s="63" t="n">
        <x:v>0</x:v>
      </x:c>
      <x:c r="X2" s="21" t="n">
        <x:v>0</x:v>
      </x:c>
      <x:c r="Y2" s="21" t="n">
        <x:v>1</x:v>
      </x:c>
      <x:c r="Z2" s="21" t="n">
        <x:v>2</x:v>
      </x:c>
      <x:c r="AA2" s="21"/>
      <x:c r="AB2" s="21" t="n">
        <x:v>0</x:v>
      </x:c>
      <x:c r="AC2" s="21" t="n">
        <x:v>0</x:v>
      </x:c>
      <x:c r="AD2" s="66" t="n">
        <x:v>0</x:v>
      </x:c>
      <x:c r="AE2" s="21" t="str">
        <x:v>runs/run_U3dSbFG7mYQvk1i</x:v>
      </x:c>
    </x:row>
    <x:row r="3">
      <x:c r="A3" s="23" t="str">
        <x:v>run_yHNcIv0bZL87GTJJ</x:v>
      </x:c>
      <x:c r="B3" s="23" t="str">
        <x:v>money</x:v>
      </x:c>
      <x:c r="C3" s="23" t="str">
        <x:v>货币系统</x:v>
      </x:c>
      <x:c r="D3" s="23" t="str">
        <x:v>noip2018</x:v>
      </x:c>
      <x:c r="E3" s="23" t="str">
        <x:v>普及+/提高−</x:v>
      </x:c>
      <x:c r="F3" s="23" t="str">
        <x:v>current_manifest_backfill</x:v>
      </x:c>
      <x:c r="G3" s="23"/>
      <x:c r="H3" s="61" t="n">
        <x:v>46259.505825381944</x:v>
      </x:c>
      <x:c r="I3" s="23" t="str">
        <x:v>STALLED</x:v>
      </x:c>
      <x:c r="J3" s="23" t="str">
        <x:v>RE</x:v>
      </x:c>
      <x:c r="K3" s="23" t="n">
        <x:v>0</x:v>
      </x:c>
      <x:c r="L3" s="23" t="n">
        <x:v>20</x:v>
      </x:c>
      <x:c r="M3" s="64" t="n">
        <x:v>0</x:v>
      </x:c>
      <x:c r="N3" s="23" t="n">
        <x:v>0</x:v>
      </x:c>
      <x:c r="O3" s="23" t="n">
        <x:v>1</x:v>
      </x:c>
      <x:c r="P3" s="23" t="n">
        <x:v>0</x:v>
      </x:c>
      <x:c r="Q3" s="23" t="n">
        <x:v>0</x:v>
      </x:c>
      <x:c r="R3" s="23" t="str">
        <x:v>RUNTIME_ERROR</x:v>
      </x:c>
      <x:c r="S3" s="23"/>
      <x:c r="T3" s="23" t="str">
        <x:v>RE</x:v>
      </x:c>
      <x:c r="U3" s="23" t="n">
        <x:v>0</x:v>
      </x:c>
      <x:c r="V3" s="23" t="n">
        <x:v>20</x:v>
      </x:c>
      <x:c r="W3" s="64" t="n">
        <x:v>0</x:v>
      </x:c>
      <x:c r="X3" s="23" t="n">
        <x:v>0</x:v>
      </x:c>
      <x:c r="Y3" s="23" t="n">
        <x:v>1</x:v>
      </x:c>
      <x:c r="Z3" s="23" t="n">
        <x:v>2</x:v>
      </x:c>
      <x:c r="AA3" s="23"/>
      <x:c r="AB3" s="23" t="n">
        <x:v>0</x:v>
      </x:c>
      <x:c r="AC3" s="23" t="n">
        <x:v>0</x:v>
      </x:c>
      <x:c r="AD3" s="67" t="n">
        <x:v>0</x:v>
      </x:c>
      <x:c r="AE3" s="23" t="str">
        <x:v>runs/run_yHNcIv0bZL87GTJJ</x:v>
      </x:c>
    </x:row>
    <x:row r="4">
      <x:c r="A4" s="23" t="str">
        <x:v>run_7xCuFaUSouoX3XBx</x:v>
      </x:c>
      <x:c r="B4" s="23" t="str">
        <x:v>road</x:v>
      </x:c>
      <x:c r="C4" s="23" t="str">
        <x:v>铺设道路</x:v>
      </x:c>
      <x:c r="D4" s="23" t="str">
        <x:v>noip2018</x:v>
      </x:c>
      <x:c r="E4" s="23" t="str">
        <x:v>普及</x:v>
      </x:c>
      <x:c r="F4" s="23" t="str">
        <x:v>current_manifest_backfill</x:v>
      </x:c>
      <x:c r="G4" s="23"/>
      <x:c r="H4" s="61" t="n">
        <x:v>46260.54843246528</x:v>
      </x:c>
      <x:c r="I4" s="23" t="str">
        <x:v>COMPLETED</x:v>
      </x:c>
      <x:c r="J4" s="23" t="str">
        <x:v>AC</x:v>
      </x:c>
      <x:c r="K4" s="23" t="n">
        <x:v>10</x:v>
      </x:c>
      <x:c r="L4" s="23" t="n">
        <x:v>10</x:v>
      </x:c>
      <x:c r="M4" s="64" t="n">
        <x:v>100</x:v>
      </x:c>
      <x:c r="N4" s="23" t="n">
        <x:v>1</x:v>
      </x:c>
      <x:c r="O4" s="23" t="n">
        <x:v>1</x:v>
      </x:c>
      <x:c r="P4" s="23" t="n">
        <x:v>1</x:v>
      </x:c>
      <x:c r="Q4" s="23" t="n">
        <x:v>0</x:v>
      </x:c>
      <x:c r="R4" s="23" t="str">
        <x:v>UNRESOLVED</x:v>
      </x:c>
      <x:c r="S4" s="23"/>
      <x:c r="T4" s="23" t="str">
        <x:v>AC</x:v>
      </x:c>
      <x:c r="U4" s="23" t="n">
        <x:v>10</x:v>
      </x:c>
      <x:c r="V4" s="23" t="n">
        <x:v>10</x:v>
      </x:c>
      <x:c r="W4" s="64" t="n">
        <x:v>100</x:v>
      </x:c>
      <x:c r="X4" s="23" t="n">
        <x:v>1</x:v>
      </x:c>
      <x:c r="Y4" s="23" t="n">
        <x:v>1</x:v>
      </x:c>
      <x:c r="Z4" s="23" t="n">
        <x:v>0</x:v>
      </x:c>
      <x:c r="AA4" s="23"/>
      <x:c r="AB4" s="23" t="n">
        <x:v>0</x:v>
      </x:c>
      <x:c r="AC4" s="23" t="n">
        <x:v>0</x:v>
      </x:c>
      <x:c r="AD4" s="67" t="n">
        <x:v>0</x:v>
      </x:c>
      <x:c r="AE4" s="23" t="str">
        <x:v>runs/run_7xCuFaUSouoX3XBx</x:v>
      </x:c>
    </x:row>
    <x:row r="5">
      <x:c r="A5" s="23" t="str">
        <x:v>run_Dwq5kWBqPd8K3Tqb</x:v>
      </x:c>
      <x:c r="B5" s="23" t="str">
        <x:v>track</x:v>
      </x:c>
      <x:c r="C5" s="23" t="str">
        <x:v>赛道修建</x:v>
      </x:c>
      <x:c r="D5" s="23" t="str">
        <x:v>noip2018</x:v>
      </x:c>
      <x:c r="E5" s="23" t="str">
        <x:v>提高</x:v>
      </x:c>
      <x:c r="F5" s="23" t="str">
        <x:v>current_manifest_backfill</x:v>
      </x:c>
      <x:c r="G5" s="23"/>
      <x:c r="H5" s="61" t="n">
        <x:v>46260.55155149305</x:v>
      </x:c>
      <x:c r="I5" s="23" t="str">
        <x:v>COMPLETED</x:v>
      </x:c>
      <x:c r="J5" s="23" t="str">
        <x:v>AC</x:v>
      </x:c>
      <x:c r="K5" s="23" t="n">
        <x:v>20</x:v>
      </x:c>
      <x:c r="L5" s="23" t="n">
        <x:v>20</x:v>
      </x:c>
      <x:c r="M5" s="64" t="n">
        <x:v>100</x:v>
      </x:c>
      <x:c r="N5" s="23" t="n">
        <x:v>1</x:v>
      </x:c>
      <x:c r="O5" s="23" t="n">
        <x:v>1</x:v>
      </x:c>
      <x:c r="P5" s="23" t="n">
        <x:v>1</x:v>
      </x:c>
      <x:c r="Q5" s="23" t="n">
        <x:v>0</x:v>
      </x:c>
      <x:c r="R5" s="23" t="str">
        <x:v>UNRESOLVED</x:v>
      </x:c>
      <x:c r="S5" s="23"/>
      <x:c r="T5" s="23" t="str">
        <x:v>WA</x:v>
      </x:c>
      <x:c r="U5" s="23" t="n">
        <x:v>16</x:v>
      </x:c>
      <x:c r="V5" s="23" t="n">
        <x:v>20</x:v>
      </x:c>
      <x:c r="W5" s="64" t="n">
        <x:v>80</x:v>
      </x:c>
      <x:c r="X5" s="23" t="n">
        <x:v>0</x:v>
      </x:c>
      <x:c r="Y5" s="23" t="n">
        <x:v>1</x:v>
      </x:c>
      <x:c r="Z5" s="23" t="n">
        <x:v>1</x:v>
      </x:c>
      <x:c r="AA5" s="23"/>
      <x:c r="AB5" s="23" t="n">
        <x:v>1</x:v>
      </x:c>
      <x:c r="AC5" s="23" t="n">
        <x:v>0</x:v>
      </x:c>
      <x:c r="AD5" s="67" t="n">
        <x:v>0</x:v>
      </x:c>
      <x:c r="AE5" s="23" t="str">
        <x:v>runs/run_Dwq5kWBqPd8K3Tqb</x:v>
      </x:c>
    </x:row>
    <x:row r="6">
      <x:c r="A6" s="23" t="str">
        <x:v>run_hrFicZzSxzEVtwNm</x:v>
      </x:c>
      <x:c r="B6" s="23" t="str">
        <x:v>defense</x:v>
      </x:c>
      <x:c r="C6" s="23" t="str">
        <x:v>保卫王国</x:v>
      </x:c>
      <x:c r="D6" s="23" t="str">
        <x:v>noip2018</x:v>
      </x:c>
      <x:c r="E6" s="23" t="str">
        <x:v>省选/NOI−</x:v>
      </x:c>
      <x:c r="F6" s="23" t="str">
        <x:v>current_manifest_backfill</x:v>
      </x:c>
      <x:c r="G6" s="23"/>
      <x:c r="H6" s="61" t="n">
        <x:v>46261.20578888889</x:v>
      </x:c>
      <x:c r="I6" s="23" t="str">
        <x:v>STALLED</x:v>
      </x:c>
      <x:c r="J6" s="23" t="str">
        <x:v>AC</x:v>
      </x:c>
      <x:c r="K6" s="23" t="n">
        <x:v>25</x:v>
      </x:c>
      <x:c r="L6" s="23" t="n">
        <x:v>25</x:v>
      </x:c>
      <x:c r="M6" s="64" t="n">
        <x:v>100</x:v>
      </x:c>
      <x:c r="N6" s="23" t="n">
        <x:v>1</x:v>
      </x:c>
      <x:c r="O6" s="23" t="n">
        <x:v>0</x:v>
      </x:c>
      <x:c r="P6" s="23" t="n">
        <x:v>0</x:v>
      </x:c>
      <x:c r="Q6" s="23" t="n">
        <x:v>1</x:v>
      </x:c>
      <x:c r="R6" s="23" t="str">
        <x:v>RESULT_CORRECT_PROCESS_INVALID</x:v>
      </x:c>
      <x:c r="S6" s="23" t="str">
        <x:v>S5</x:v>
      </x:c>
      <x:c r="T6" s="23" t="str">
        <x:v>WA</x:v>
      </x:c>
      <x:c r="U6" s="23" t="n">
        <x:v>12</x:v>
      </x:c>
      <x:c r="V6" s="23" t="n">
        <x:v>25</x:v>
      </x:c>
      <x:c r="W6" s="64" t="n">
        <x:v>48</x:v>
      </x:c>
      <x:c r="X6" s="23" t="n">
        <x:v>0</x:v>
      </x:c>
      <x:c r="Y6" s="23" t="n">
        <x:v>0</x:v>
      </x:c>
      <x:c r="Z6" s="23" t="n">
        <x:v>1</x:v>
      </x:c>
      <x:c r="AA6" s="23"/>
      <x:c r="AB6" s="23" t="n">
        <x:v>0</x:v>
      </x:c>
      <x:c r="AC6" s="23" t="n">
        <x:v>0</x:v>
      </x:c>
      <x:c r="AD6" s="67" t="n">
        <x:v>0</x:v>
      </x:c>
      <x:c r="AE6" s="23" t="str">
        <x:v>runs/run_hrFicZzSxzEVtwNm</x:v>
      </x:c>
    </x:row>
    <x:row r="7">
      <x:c r="A7" s="23" t="str">
        <x:v>run_0RBbx1H0DHLxSwcm</x:v>
      </x:c>
      <x:c r="B7" s="23" t="str">
        <x:v>money</x:v>
      </x:c>
      <x:c r="C7" s="23" t="str">
        <x:v>货币系统</x:v>
      </x:c>
      <x:c r="D7" s="23" t="str">
        <x:v>noip2018</x:v>
      </x:c>
      <x:c r="E7" s="23" t="str">
        <x:v>普及+/提高−</x:v>
      </x:c>
      <x:c r="F7" s="23" t="str">
        <x:v>current_manifest_backfill</x:v>
      </x:c>
      <x:c r="G7" s="23"/>
      <x:c r="H7" s="61" t="n">
        <x:v>46263.52578425926</x:v>
      </x:c>
      <x:c r="I7" s="23" t="str">
        <x:v>COMPLETED</x:v>
      </x:c>
      <x:c r="J7" s="23" t="str">
        <x:v>AC</x:v>
      </x:c>
      <x:c r="K7" s="23" t="n">
        <x:v>20</x:v>
      </x:c>
      <x:c r="L7" s="23" t="n">
        <x:v>20</x:v>
      </x:c>
      <x:c r="M7" s="64" t="n">
        <x:v>100</x:v>
      </x:c>
      <x:c r="N7" s="23" t="n">
        <x:v>1</x:v>
      </x:c>
      <x:c r="O7" s="23" t="n">
        <x:v>1</x:v>
      </x:c>
      <x:c r="P7" s="23" t="n">
        <x:v>1</x:v>
      </x:c>
      <x:c r="Q7" s="23" t="n">
        <x:v>0</x:v>
      </x:c>
      <x:c r="R7" s="23" t="str">
        <x:v>UNRESOLVED</x:v>
      </x:c>
      <x:c r="S7" s="23"/>
      <x:c r="T7" s="23" t="str">
        <x:v>AC</x:v>
      </x:c>
      <x:c r="U7" s="23" t="n">
        <x:v>20</x:v>
      </x:c>
      <x:c r="V7" s="23" t="n">
        <x:v>20</x:v>
      </x:c>
      <x:c r="W7" s="64" t="n">
        <x:v>100</x:v>
      </x:c>
      <x:c r="X7" s="23" t="n">
        <x:v>1</x:v>
      </x:c>
      <x:c r="Y7" s="23" t="n">
        <x:v>1</x:v>
      </x:c>
      <x:c r="Z7" s="23" t="n">
        <x:v>0</x:v>
      </x:c>
      <x:c r="AA7" s="23"/>
      <x:c r="AB7" s="23" t="n">
        <x:v>0</x:v>
      </x:c>
      <x:c r="AC7" s="23" t="n">
        <x:v>0</x:v>
      </x:c>
      <x:c r="AD7" s="67" t="n">
        <x:v>0</x:v>
      </x:c>
      <x:c r="AE7" s="23" t="str">
        <x:v>runs/run_0RBbx1H0DHLxSwcm</x:v>
      </x:c>
    </x:row>
    <x:row r="8">
      <x:c r="A8" s="23" t="str">
        <x:v>run_413ygPvc9xnUEt</x:v>
      </x:c>
      <x:c r="B8" s="23" t="str">
        <x:v>road</x:v>
      </x:c>
      <x:c r="C8" s="23" t="str">
        <x:v>铺设道路</x:v>
      </x:c>
      <x:c r="D8" s="23" t="str">
        <x:v>noip2018</x:v>
      </x:c>
      <x:c r="E8" s="23" t="str">
        <x:v>普及</x:v>
      </x:c>
      <x:c r="F8" s="23" t="str">
        <x:v>current_manifest_backfill</x:v>
      </x:c>
      <x:c r="G8" s="23"/>
      <x:c r="H8" s="61" t="n">
        <x:v>46264.239970092596</x:v>
      </x:c>
      <x:c r="I8" s="23" t="str">
        <x:v>STALLED</x:v>
      </x:c>
      <x:c r="J8" s="23" t="str">
        <x:v>WA</x:v>
      </x:c>
      <x:c r="K8" s="23" t="n">
        <x:v>1</x:v>
      </x:c>
      <x:c r="L8" s="23" t="n">
        <x:v>10</x:v>
      </x:c>
      <x:c r="M8" s="64" t="n">
        <x:v>10</x:v>
      </x:c>
      <x:c r="N8" s="23" t="n">
        <x:v>0</x:v>
      </x:c>
      <x:c r="O8" s="23" t="n">
        <x:v>1</x:v>
      </x:c>
      <x:c r="P8" s="23" t="n">
        <x:v>0</x:v>
      </x:c>
      <x:c r="Q8" s="23" t="n">
        <x:v>0</x:v>
      </x:c>
      <x:c r="R8" s="23" t="str">
        <x:v>IMPLEMENTATION_MISMATCH</x:v>
      </x:c>
      <x:c r="S8" s="23"/>
      <x:c r="T8" s="23" t="str">
        <x:v>WA</x:v>
      </x:c>
      <x:c r="U8" s="23" t="n">
        <x:v>1</x:v>
      </x:c>
      <x:c r="V8" s="23" t="n">
        <x:v>10</x:v>
      </x:c>
      <x:c r="W8" s="64" t="n">
        <x:v>10</x:v>
      </x:c>
      <x:c r="X8" s="23" t="n">
        <x:v>0</x:v>
      </x:c>
      <x:c r="Y8" s="23" t="n">
        <x:v>1</x:v>
      </x:c>
      <x:c r="Z8" s="23" t="n">
        <x:v>2</x:v>
      </x:c>
      <x:c r="AA8" s="23"/>
      <x:c r="AB8" s="23" t="n">
        <x:v>0</x:v>
      </x:c>
      <x:c r="AC8" s="23" t="n">
        <x:v>11</x:v>
      </x:c>
      <x:c r="AD8" s="67" t="n">
        <x:v>64174</x:v>
      </x:c>
      <x:c r="AE8" s="23" t="str">
        <x:v>runs/run_413ygPvc9xnUEt</x:v>
      </x:c>
    </x:row>
    <x:row r="9">
      <x:c r="A9" s="23" t="str">
        <x:v>run_TwEVIQPrlAjRkBQy</x:v>
      </x:c>
      <x:c r="B9" s="23" t="str">
        <x:v>road</x:v>
      </x:c>
      <x:c r="C9" s="23" t="str">
        <x:v>铺设道路</x:v>
      </x:c>
      <x:c r="D9" s="23" t="str">
        <x:v>noip2018</x:v>
      </x:c>
      <x:c r="E9" s="23" t="str">
        <x:v>普及</x:v>
      </x:c>
      <x:c r="F9" s="23" t="str">
        <x:v>current_manifest_backfill</x:v>
      </x:c>
      <x:c r="G9" s="23"/>
      <x:c r="H9" s="61" t="n">
        <x:v>46264.26778635417</x:v>
      </x:c>
      <x:c r="I9" s="23" t="str">
        <x:v>STALLED</x:v>
      </x:c>
      <x:c r="J9" s="23" t="str">
        <x:v>WA</x:v>
      </x:c>
      <x:c r="K9" s="23" t="n">
        <x:v>0</x:v>
      </x:c>
      <x:c r="L9" s="23" t="n">
        <x:v>10</x:v>
      </x:c>
      <x:c r="M9" s="64" t="n">
        <x:v>0</x:v>
      </x:c>
      <x:c r="N9" s="23" t="n">
        <x:v>0</x:v>
      </x:c>
      <x:c r="O9" s="23" t="n">
        <x:v>1</x:v>
      </x:c>
      <x:c r="P9" s="23" t="n">
        <x:v>0</x:v>
      </x:c>
      <x:c r="Q9" s="23" t="n">
        <x:v>0</x:v>
      </x:c>
      <x:c r="R9" s="23" t="str">
        <x:v>IMPLEMENTATION_MISMATCH</x:v>
      </x:c>
      <x:c r="S9" s="23"/>
      <x:c r="T9" s="23" t="str">
        <x:v>WA</x:v>
      </x:c>
      <x:c r="U9" s="23" t="n">
        <x:v>0</x:v>
      </x:c>
      <x:c r="V9" s="23" t="n">
        <x:v>10</x:v>
      </x:c>
      <x:c r="W9" s="64" t="n">
        <x:v>0</x:v>
      </x:c>
      <x:c r="X9" s="23" t="n">
        <x:v>0</x:v>
      </x:c>
      <x:c r="Y9" s="23" t="n">
        <x:v>1</x:v>
      </x:c>
      <x:c r="Z9" s="23" t="n">
        <x:v>2</x:v>
      </x:c>
      <x:c r="AA9" s="23"/>
      <x:c r="AB9" s="23" t="n">
        <x:v>0</x:v>
      </x:c>
      <x:c r="AC9" s="23" t="n">
        <x:v>11</x:v>
      </x:c>
      <x:c r="AD9" s="67" t="n">
        <x:v>47099</x:v>
      </x:c>
      <x:c r="AE9" s="23" t="str">
        <x:v>runs/run_TwEVIQPrlAjRkBQy</x:v>
      </x:c>
    </x:row>
    <x:row r="10">
      <x:c r="A10" s="23" t="str">
        <x:v>run_4e0W5orayvxmk5T</x:v>
      </x:c>
      <x:c r="B10" s="23" t="str">
        <x:v>travel</x:v>
      </x:c>
      <x:c r="C10" s="23" t="str">
        <x:v>旅行</x:v>
      </x:c>
      <x:c r="D10" s="23" t="str">
        <x:v>noip2018</x:v>
      </x:c>
      <x:c r="E10" s="23" t="str">
        <x:v>提高</x:v>
      </x:c>
      <x:c r="F10" s="23" t="str">
        <x:v>current_manifest_backfill</x:v>
      </x:c>
      <x:c r="G10" s="23"/>
      <x:c r="H10" s="61" t="n">
        <x:v>46264.32452400463</x:v>
      </x:c>
      <x:c r="I10" s="23" t="str">
        <x:v>STALLED</x:v>
      </x:c>
      <x:c r="J10" s="23" t="str">
        <x:v>WA</x:v>
      </x:c>
      <x:c r="K10" s="23" t="n">
        <x:v>0</x:v>
      </x:c>
      <x:c r="L10" s="23" t="n">
        <x:v>25</x:v>
      </x:c>
      <x:c r="M10" s="64" t="n">
        <x:v>0</x:v>
      </x:c>
      <x:c r="N10" s="23" t="n">
        <x:v>0</x:v>
      </x:c>
      <x:c r="O10" s="23" t="n">
        <x:v>1</x:v>
      </x:c>
      <x:c r="P10" s="23" t="n">
        <x:v>0</x:v>
      </x:c>
      <x:c r="Q10" s="23" t="n">
        <x:v>0</x:v>
      </x:c>
      <x:c r="R10" s="23" t="str">
        <x:v>IMPLEMENTATION_MISMATCH</x:v>
      </x:c>
      <x:c r="S10" s="23"/>
      <x:c r="T10" s="23" t="str">
        <x:v>WA</x:v>
      </x:c>
      <x:c r="U10" s="23" t="n">
        <x:v>0</x:v>
      </x:c>
      <x:c r="V10" s="23" t="n">
        <x:v>25</x:v>
      </x:c>
      <x:c r="W10" s="64" t="n">
        <x:v>0</x:v>
      </x:c>
      <x:c r="X10" s="23" t="n">
        <x:v>0</x:v>
      </x:c>
      <x:c r="Y10" s="23" t="n">
        <x:v>1</x:v>
      </x:c>
      <x:c r="Z10" s="23" t="n">
        <x:v>0</x:v>
      </x:c>
      <x:c r="AA10" s="23"/>
      <x:c r="AB10" s="23" t="n">
        <x:v>0</x:v>
      </x:c>
      <x:c r="AC10" s="23" t="n">
        <x:v>7</x:v>
      </x:c>
      <x:c r="AD10" s="67" t="n">
        <x:v>20967</x:v>
      </x:c>
      <x:c r="AE10" s="23" t="str">
        <x:v>runs/run_4e0W5orayvxmk5T</x:v>
      </x:c>
    </x:row>
    <x:row r="11">
      <x:c r="A11" s="23" t="str">
        <x:v>run_rVw9lQjtzswivzbX</x:v>
      </x:c>
      <x:c r="B11" s="23" t="str">
        <x:v>money</x:v>
      </x:c>
      <x:c r="C11" s="23" t="str">
        <x:v>货币系统</x:v>
      </x:c>
      <x:c r="D11" s="23" t="str">
        <x:v>noip2018</x:v>
      </x:c>
      <x:c r="E11" s="23" t="str">
        <x:v>普及+/提高−</x:v>
      </x:c>
      <x:c r="F11" s="23" t="str">
        <x:v>current_manifest_backfill</x:v>
      </x:c>
      <x:c r="G11" s="23"/>
      <x:c r="H11" s="61" t="n">
        <x:v>46264.3747990162</x:v>
      </x:c>
      <x:c r="I11" s="23" t="str">
        <x:v>COMPLETED</x:v>
      </x:c>
      <x:c r="J11" s="23" t="str">
        <x:v>AC</x:v>
      </x:c>
      <x:c r="K11" s="23" t="n">
        <x:v>20</x:v>
      </x:c>
      <x:c r="L11" s="23" t="n">
        <x:v>20</x:v>
      </x:c>
      <x:c r="M11" s="64" t="n">
        <x:v>100</x:v>
      </x:c>
      <x:c r="N11" s="23" t="n">
        <x:v>1</x:v>
      </x:c>
      <x:c r="O11" s="23" t="n">
        <x:v>1</x:v>
      </x:c>
      <x:c r="P11" s="23" t="n">
        <x:v>1</x:v>
      </x:c>
      <x:c r="Q11" s="23" t="n">
        <x:v>0</x:v>
      </x:c>
      <x:c r="R11" s="23" t="str">
        <x:v>UNRESOLVED</x:v>
      </x:c>
      <x:c r="S11" s="23"/>
      <x:c r="T11" s="23" t="str">
        <x:v>AC</x:v>
      </x:c>
      <x:c r="U11" s="23" t="n">
        <x:v>20</x:v>
      </x:c>
      <x:c r="V11" s="23" t="n">
        <x:v>20</x:v>
      </x:c>
      <x:c r="W11" s="64" t="n">
        <x:v>100</x:v>
      </x:c>
      <x:c r="X11" s="23" t="n">
        <x:v>1</x:v>
      </x:c>
      <x:c r="Y11" s="23" t="n">
        <x:v>1</x:v>
      </x:c>
      <x:c r="Z11" s="23" t="n">
        <x:v>0</x:v>
      </x:c>
      <x:c r="AA11" s="23"/>
      <x:c r="AB11" s="23" t="n">
        <x:v>0</x:v>
      </x:c>
      <x:c r="AC11" s="23" t="n">
        <x:v>4</x:v>
      </x:c>
      <x:c r="AD11" s="67" t="n">
        <x:v>30547</x:v>
      </x:c>
      <x:c r="AE11" s="23" t="str">
        <x:v>runs/run_rVw9lQjtzswivzbX</x:v>
      </x:c>
    </x:row>
    <x:row r="12">
      <x:c r="A12" s="23" t="str">
        <x:v>run_ffx8PecwizZ6jj</x:v>
      </x:c>
      <x:c r="B12" s="23" t="str">
        <x:v>road</x:v>
      </x:c>
      <x:c r="C12" s="23" t="str">
        <x:v>铺设道路</x:v>
      </x:c>
      <x:c r="D12" s="23" t="str">
        <x:v>noip2018</x:v>
      </x:c>
      <x:c r="E12" s="23" t="str">
        <x:v>普及</x:v>
      </x:c>
      <x:c r="F12" s="23" t="str">
        <x:v>current_manifest_backfill</x:v>
      </x:c>
      <x:c r="G12" s="23"/>
      <x:c r="H12" s="61" t="n">
        <x:v>46264.37486618056</x:v>
      </x:c>
      <x:c r="I12" s="23" t="str">
        <x:v>COMPLETED</x:v>
      </x:c>
      <x:c r="J12" s="23" t="str">
        <x:v>AC</x:v>
      </x:c>
      <x:c r="K12" s="23" t="n">
        <x:v>10</x:v>
      </x:c>
      <x:c r="L12" s="23" t="n">
        <x:v>10</x:v>
      </x:c>
      <x:c r="M12" s="64" t="n">
        <x:v>100</x:v>
      </x:c>
      <x:c r="N12" s="23" t="n">
        <x:v>1</x:v>
      </x:c>
      <x:c r="O12" s="23" t="n">
        <x:v>1</x:v>
      </x:c>
      <x:c r="P12" s="23" t="n">
        <x:v>1</x:v>
      </x:c>
      <x:c r="Q12" s="23" t="n">
        <x:v>0</x:v>
      </x:c>
      <x:c r="R12" s="23" t="str">
        <x:v>UNRESOLVED</x:v>
      </x:c>
      <x:c r="S12" s="23"/>
      <x:c r="T12" s="23" t="str">
        <x:v>AC</x:v>
      </x:c>
      <x:c r="U12" s="23" t="n">
        <x:v>10</x:v>
      </x:c>
      <x:c r="V12" s="23" t="n">
        <x:v>10</x:v>
      </x:c>
      <x:c r="W12" s="64" t="n">
        <x:v>100</x:v>
      </x:c>
      <x:c r="X12" s="23" t="n">
        <x:v>1</x:v>
      </x:c>
      <x:c r="Y12" s="23" t="n">
        <x:v>1</x:v>
      </x:c>
      <x:c r="Z12" s="23" t="n">
        <x:v>0</x:v>
      </x:c>
      <x:c r="AA12" s="23"/>
      <x:c r="AB12" s="23" t="n">
        <x:v>0</x:v>
      </x:c>
      <x:c r="AC12" s="23" t="n">
        <x:v>4</x:v>
      </x:c>
      <x:c r="AD12" s="67" t="n">
        <x:v>23897</x:v>
      </x:c>
      <x:c r="AE12" s="23" t="str">
        <x:v>runs/run_ffx8PecwizZ6jj</x:v>
      </x:c>
    </x:row>
    <x:row r="13">
      <x:c r="A13" s="23" t="str">
        <x:v>run_7mzIXPTwnDCZFIun</x:v>
      </x:c>
      <x:c r="B13" s="23" t="str">
        <x:v>game</x:v>
      </x:c>
      <x:c r="C13" s="23" t="str">
        <x:v>填数游戏</x:v>
      </x:c>
      <x:c r="D13" s="23" t="str">
        <x:v>noip2018</x:v>
      </x:c>
      <x:c r="E13" s="23" t="str">
        <x:v>NOI/NOI+/CTS</x:v>
      </x:c>
      <x:c r="F13" s="23" t="str">
        <x:v>current_manifest_backfill</x:v>
      </x:c>
      <x:c r="G13" s="23"/>
      <x:c r="H13" s="61" t="n">
        <x:v>46265.43929976852</x:v>
      </x:c>
      <x:c r="I13" s="23" t="str">
        <x:v>STALLED</x:v>
      </x:c>
      <x:c r="J13" s="23" t="str">
        <x:v>WA</x:v>
      </x:c>
      <x:c r="K13" s="23" t="n">
        <x:v>0</x:v>
      </x:c>
      <x:c r="L13" s="23" t="n">
        <x:v>20</x:v>
      </x:c>
      <x:c r="M13" s="64" t="n">
        <x:v>0</x:v>
      </x:c>
      <x:c r="N13" s="23" t="n">
        <x:v>0</x:v>
      </x:c>
      <x:c r="O13" s="23" t="n">
        <x:v>1</x:v>
      </x:c>
      <x:c r="P13" s="23" t="n">
        <x:v>0</x:v>
      </x:c>
      <x:c r="Q13" s="23" t="n">
        <x:v>0</x:v>
      </x:c>
      <x:c r="R13" s="23" t="str">
        <x:v>IMPLEMENTATION_MISMATCH</x:v>
      </x:c>
      <x:c r="S13" s="23"/>
      <x:c r="T13" s="23" t="str">
        <x:v>WA</x:v>
      </x:c>
      <x:c r="U13" s="23" t="n">
        <x:v>0</x:v>
      </x:c>
      <x:c r="V13" s="23" t="n">
        <x:v>20</x:v>
      </x:c>
      <x:c r="W13" s="64" t="n">
        <x:v>0</x:v>
      </x:c>
      <x:c r="X13" s="23" t="n">
        <x:v>0</x:v>
      </x:c>
      <x:c r="Y13" s="23" t="n">
        <x:v>1</x:v>
      </x:c>
      <x:c r="Z13" s="23" t="n">
        <x:v>2</x:v>
      </x:c>
      <x:c r="AA13" s="23"/>
      <x:c r="AB13" s="23" t="n">
        <x:v>0</x:v>
      </x:c>
      <x:c r="AC13" s="23" t="n">
        <x:v>11</x:v>
      </x:c>
      <x:c r="AD13" s="67" t="n">
        <x:v>59839</x:v>
      </x:c>
      <x:c r="AE13" s="23" t="str">
        <x:v>runs/run_7mzIXPTwnDCZFIun</x:v>
      </x:c>
    </x:row>
    <x:row r="14">
      <x:c r="A14" s="23" t="str">
        <x:v>run_GhNlla9EufyLoSiK</x:v>
      </x:c>
      <x:c r="B14" s="23" t="str">
        <x:v>travel</x:v>
      </x:c>
      <x:c r="C14" s="23" t="str">
        <x:v>旅行</x:v>
      </x:c>
      <x:c r="D14" s="23" t="str">
        <x:v>noip2018</x:v>
      </x:c>
      <x:c r="E14" s="23" t="str">
        <x:v>提高</x:v>
      </x:c>
      <x:c r="F14" s="23" t="str">
        <x:v>current_manifest_backfill</x:v>
      </x:c>
      <x:c r="G14" s="23"/>
      <x:c r="H14" s="61" t="n">
        <x:v>46265.46764976852</x:v>
      </x:c>
      <x:c r="I14" s="23" t="str">
        <x:v>STALLED</x:v>
      </x:c>
      <x:c r="J14" s="23" t="str">
        <x:v>WA</x:v>
      </x:c>
      <x:c r="K14" s="23" t="n">
        <x:v>0</x:v>
      </x:c>
      <x:c r="L14" s="23" t="n">
        <x:v>25</x:v>
      </x:c>
      <x:c r="M14" s="64" t="n">
        <x:v>0</x:v>
      </x:c>
      <x:c r="N14" s="23" t="n">
        <x:v>0</x:v>
      </x:c>
      <x:c r="O14" s="23" t="n">
        <x:v>1</x:v>
      </x:c>
      <x:c r="P14" s="23" t="n">
        <x:v>0</x:v>
      </x:c>
      <x:c r="Q14" s="23" t="n">
        <x:v>0</x:v>
      </x:c>
      <x:c r="R14" s="23" t="str">
        <x:v>IMPLEMENTATION_MISMATCH</x:v>
      </x:c>
      <x:c r="S14" s="23"/>
      <x:c r="T14" s="23" t="str">
        <x:v>WA</x:v>
      </x:c>
      <x:c r="U14" s="23" t="n">
        <x:v>0</x:v>
      </x:c>
      <x:c r="V14" s="23" t="n">
        <x:v>25</x:v>
      </x:c>
      <x:c r="W14" s="64" t="n">
        <x:v>0</x:v>
      </x:c>
      <x:c r="X14" s="23" t="n">
        <x:v>0</x:v>
      </x:c>
      <x:c r="Y14" s="23" t="n">
        <x:v>1</x:v>
      </x:c>
      <x:c r="Z14" s="23" t="n">
        <x:v>0</x:v>
      </x:c>
      <x:c r="AA14" s="23"/>
      <x:c r="AB14" s="23" t="n">
        <x:v>0</x:v>
      </x:c>
      <x:c r="AC14" s="23" t="n">
        <x:v>5</x:v>
      </x:c>
      <x:c r="AD14" s="67" t="n">
        <x:v>22622</x:v>
      </x:c>
      <x:c r="AE14" s="23" t="str">
        <x:v>runs/run_GhNlla9EufyLoSiK</x:v>
      </x:c>
    </x:row>
    <x:row r="15">
      <x:c r="A15" s="23" t="str">
        <x:v>run_y5mJ6wy2DtSyNItl</x:v>
      </x:c>
      <x:c r="B15" s="23" t="str">
        <x:v>road</x:v>
      </x:c>
      <x:c r="C15" s="23" t="str">
        <x:v>铺设道路</x:v>
      </x:c>
      <x:c r="D15" s="23" t="str">
        <x:v>noip2018</x:v>
      </x:c>
      <x:c r="E15" s="23" t="str">
        <x:v>普及</x:v>
      </x:c>
      <x:c r="F15" s="23" t="str">
        <x:v>current_manifest_backfill</x:v>
      </x:c>
      <x:c r="G15" s="23"/>
      <x:c r="H15" s="61" t="n">
        <x:v>46265.478431261574</x:v>
      </x:c>
      <x:c r="I15" s="23" t="str">
        <x:v>COMPLETED</x:v>
      </x:c>
      <x:c r="J15" s="23" t="str">
        <x:v>AC</x:v>
      </x:c>
      <x:c r="K15" s="23" t="n">
        <x:v>10</x:v>
      </x:c>
      <x:c r="L15" s="23" t="n">
        <x:v>10</x:v>
      </x:c>
      <x:c r="M15" s="64" t="n">
        <x:v>100</x:v>
      </x:c>
      <x:c r="N15" s="23" t="n">
        <x:v>1</x:v>
      </x:c>
      <x:c r="O15" s="23" t="n">
        <x:v>1</x:v>
      </x:c>
      <x:c r="P15" s="23" t="n">
        <x:v>1</x:v>
      </x:c>
      <x:c r="Q15" s="23" t="n">
        <x:v>0</x:v>
      </x:c>
      <x:c r="R15" s="23" t="str">
        <x:v>UNRESOLVED</x:v>
      </x:c>
      <x:c r="S15" s="23"/>
      <x:c r="T15" s="23" t="str">
        <x:v>AC</x:v>
      </x:c>
      <x:c r="U15" s="23" t="n">
        <x:v>10</x:v>
      </x:c>
      <x:c r="V15" s="23" t="n">
        <x:v>10</x:v>
      </x:c>
      <x:c r="W15" s="64" t="n">
        <x:v>100</x:v>
      </x:c>
      <x:c r="X15" s="23" t="n">
        <x:v>1</x:v>
      </x:c>
      <x:c r="Y15" s="23" t="n">
        <x:v>1</x:v>
      </x:c>
      <x:c r="Z15" s="23" t="n">
        <x:v>0</x:v>
      </x:c>
      <x:c r="AA15" s="23"/>
      <x:c r="AB15" s="23" t="n">
        <x:v>0</x:v>
      </x:c>
      <x:c r="AC15" s="23" t="n">
        <x:v>4</x:v>
      </x:c>
      <x:c r="AD15" s="67" t="n">
        <x:v>19289</x:v>
      </x:c>
      <x:c r="AE15" s="23" t="str">
        <x:v>runs/run_y5mJ6wy2DtSyNItl</x:v>
      </x:c>
    </x:row>
    <x:row r="16">
      <x:c r="A16" s="23" t="str">
        <x:v>run_vw5MWZ95syzaalPD</x:v>
      </x:c>
      <x:c r="B16" s="23" t="str">
        <x:v>game</x:v>
      </x:c>
      <x:c r="C16" s="23" t="str">
        <x:v>填数游戏</x:v>
      </x:c>
      <x:c r="D16" s="23" t="str">
        <x:v>noip2018</x:v>
      </x:c>
      <x:c r="E16" s="23" t="str">
        <x:v>NOI/NOI+/CTS</x:v>
      </x:c>
      <x:c r="F16" s="23" t="str">
        <x:v>current_manifest_backfill</x:v>
      </x:c>
      <x:c r="G16" s="23"/>
      <x:c r="H16" s="61" t="n">
        <x:v>46265.48970621528</x:v>
      </x:c>
      <x:c r="I16" s="23" t="str">
        <x:v>STALLED</x:v>
      </x:c>
      <x:c r="J16" s="23" t="str">
        <x:v>WA</x:v>
      </x:c>
      <x:c r="K16" s="23" t="n">
        <x:v>0</x:v>
      </x:c>
      <x:c r="L16" s="23" t="n">
        <x:v>20</x:v>
      </x:c>
      <x:c r="M16" s="64" t="n">
        <x:v>0</x:v>
      </x:c>
      <x:c r="N16" s="23" t="n">
        <x:v>0</x:v>
      </x:c>
      <x:c r="O16" s="23" t="n">
        <x:v>1</x:v>
      </x:c>
      <x:c r="P16" s="23" t="n">
        <x:v>0</x:v>
      </x:c>
      <x:c r="Q16" s="23" t="n">
        <x:v>0</x:v>
      </x:c>
      <x:c r="R16" s="23" t="str">
        <x:v>IMPLEMENTATION_MISMATCH</x:v>
      </x:c>
      <x:c r="S16" s="23"/>
      <x:c r="T16" s="23" t="str">
        <x:v>WA</x:v>
      </x:c>
      <x:c r="U16" s="23" t="n">
        <x:v>0</x:v>
      </x:c>
      <x:c r="V16" s="23" t="n">
        <x:v>20</x:v>
      </x:c>
      <x:c r="W16" s="64" t="n">
        <x:v>0</x:v>
      </x:c>
      <x:c r="X16" s="23" t="n">
        <x:v>0</x:v>
      </x:c>
      <x:c r="Y16" s="23" t="n">
        <x:v>1</x:v>
      </x:c>
      <x:c r="Z16" s="23" t="n">
        <x:v>2</x:v>
      </x:c>
      <x:c r="AA16" s="23"/>
      <x:c r="AB16" s="23" t="n">
        <x:v>0</x:v>
      </x:c>
      <x:c r="AC16" s="23" t="n">
        <x:v>11</x:v>
      </x:c>
      <x:c r="AD16" s="67" t="n">
        <x:v>72826</x:v>
      </x:c>
      <x:c r="AE16" s="23" t="str">
        <x:v>runs/run_vw5MWZ95syzaalPD</x:v>
      </x:c>
    </x:row>
    <x:row r="17">
      <x:c r="A17" s="23" t="str">
        <x:v>run_UwgnmhO47m53w6DY</x:v>
      </x:c>
      <x:c r="B17" s="23" t="str">
        <x:v>travel</x:v>
      </x:c>
      <x:c r="C17" s="23" t="str">
        <x:v>旅行</x:v>
      </x:c>
      <x:c r="D17" s="23" t="str">
        <x:v>noip2018</x:v>
      </x:c>
      <x:c r="E17" s="23" t="str">
        <x:v>提高</x:v>
      </x:c>
      <x:c r="F17" s="23" t="str">
        <x:v>current_manifest_backfill</x:v>
      </x:c>
      <x:c r="G17" s="23"/>
      <x:c r="H17" s="61" t="n">
        <x:v>46265.50240011574</x:v>
      </x:c>
      <x:c r="I17" s="23" t="str">
        <x:v>COMPLETED</x:v>
      </x:c>
      <x:c r="J17" s="23" t="str">
        <x:v>AC</x:v>
      </x:c>
      <x:c r="K17" s="23" t="n">
        <x:v>25</x:v>
      </x:c>
      <x:c r="L17" s="23" t="n">
        <x:v>25</x:v>
      </x:c>
      <x:c r="M17" s="64" t="n">
        <x:v>100</x:v>
      </x:c>
      <x:c r="N17" s="23" t="n">
        <x:v>1</x:v>
      </x:c>
      <x:c r="O17" s="23" t="n">
        <x:v>1</x:v>
      </x:c>
      <x:c r="P17" s="23" t="n">
        <x:v>1</x:v>
      </x:c>
      <x:c r="Q17" s="23" t="n">
        <x:v>0</x:v>
      </x:c>
      <x:c r="R17" s="23" t="str">
        <x:v>UNRESOLVED</x:v>
      </x:c>
      <x:c r="S17" s="23"/>
      <x:c r="T17" s="23" t="str">
        <x:v>AC</x:v>
      </x:c>
      <x:c r="U17" s="23" t="n">
        <x:v>25</x:v>
      </x:c>
      <x:c r="V17" s="23" t="n">
        <x:v>25</x:v>
      </x:c>
      <x:c r="W17" s="64" t="n">
        <x:v>100</x:v>
      </x:c>
      <x:c r="X17" s="23" t="n">
        <x:v>1</x:v>
      </x:c>
      <x:c r="Y17" s="23" t="n">
        <x:v>1</x:v>
      </x:c>
      <x:c r="Z17" s="23" t="n">
        <x:v>0</x:v>
      </x:c>
      <x:c r="AA17" s="23"/>
      <x:c r="AB17" s="23" t="n">
        <x:v>0</x:v>
      </x:c>
      <x:c r="AC17" s="23" t="n">
        <x:v>6</x:v>
      </x:c>
      <x:c r="AD17" s="67" t="n">
        <x:v>57040</x:v>
      </x:c>
      <x:c r="AE17" s="23" t="str">
        <x:v>runs/run_UwgnmhO47m53w6DY</x:v>
      </x:c>
    </x:row>
    <x:row r="18">
      <x:c r="A18" s="23" t="str">
        <x:v>run_nPPFL5vXxjog7GZ8</x:v>
      </x:c>
      <x:c r="B18" s="23" t="str">
        <x:v>track</x:v>
      </x:c>
      <x:c r="C18" s="23" t="str">
        <x:v>赛道修建</x:v>
      </x:c>
      <x:c r="D18" s="23" t="str">
        <x:v>noip2018</x:v>
      </x:c>
      <x:c r="E18" s="23" t="str">
        <x:v>提高</x:v>
      </x:c>
      <x:c r="F18" s="23" t="str">
        <x:v>current_manifest_backfill</x:v>
      </x:c>
      <x:c r="G18" s="23"/>
      <x:c r="H18" s="61" t="n">
        <x:v>46265.50842510417</x:v>
      </x:c>
      <x:c r="I18" s="23" t="str">
        <x:v>COMPLETED</x:v>
      </x:c>
      <x:c r="J18" s="23" t="str">
        <x:v>AC</x:v>
      </x:c>
      <x:c r="K18" s="23" t="n">
        <x:v>20</x:v>
      </x:c>
      <x:c r="L18" s="23" t="n">
        <x:v>20</x:v>
      </x:c>
      <x:c r="M18" s="64" t="n">
        <x:v>100</x:v>
      </x:c>
      <x:c r="N18" s="23" t="n">
        <x:v>1</x:v>
      </x:c>
      <x:c r="O18" s="23" t="n">
        <x:v>1</x:v>
      </x:c>
      <x:c r="P18" s="23" t="n">
        <x:v>1</x:v>
      </x:c>
      <x:c r="Q18" s="23" t="n">
        <x:v>0</x:v>
      </x:c>
      <x:c r="R18" s="23" t="str">
        <x:v>UNRESOLVED</x:v>
      </x:c>
      <x:c r="S18" s="23"/>
      <x:c r="T18" s="23" t="str">
        <x:v>WA</x:v>
      </x:c>
      <x:c r="U18" s="23" t="n">
        <x:v>12</x:v>
      </x:c>
      <x:c r="V18" s="23" t="n">
        <x:v>20</x:v>
      </x:c>
      <x:c r="W18" s="64" t="n">
        <x:v>60</x:v>
      </x:c>
      <x:c r="X18" s="23" t="n">
        <x:v>0</x:v>
      </x:c>
      <x:c r="Y18" s="23" t="n">
        <x:v>1</x:v>
      </x:c>
      <x:c r="Z18" s="23" t="n">
        <x:v>2</x:v>
      </x:c>
      <x:c r="AA18" s="23"/>
      <x:c r="AB18" s="23" t="n">
        <x:v>1</x:v>
      </x:c>
      <x:c r="AC18" s="23" t="n">
        <x:v>20</x:v>
      </x:c>
      <x:c r="AD18" s="67" t="n">
        <x:v>220085</x:v>
      </x:c>
      <x:c r="AE18" s="23" t="str">
        <x:v>runs/run_nPPFL5vXxjog7GZ8</x:v>
      </x:c>
    </x:row>
    <x:row r="19">
      <x:c r="A19" s="23" t="str">
        <x:v>run_ndO7vwqrIJ3Ljjsi</x:v>
      </x:c>
      <x:c r="B19" s="23" t="str">
        <x:v>defense</x:v>
      </x:c>
      <x:c r="C19" s="23" t="str">
        <x:v>保卫王国</x:v>
      </x:c>
      <x:c r="D19" s="23" t="str">
        <x:v>noip2018</x:v>
      </x:c>
      <x:c r="E19" s="23" t="str">
        <x:v>省选/NOI−</x:v>
      </x:c>
      <x:c r="F19" s="23" t="str">
        <x:v>current_manifest_backfill</x:v>
      </x:c>
      <x:c r="G19" s="23"/>
      <x:c r="H19" s="61" t="n">
        <x:v>46266.54252376157</x:v>
      </x:c>
      <x:c r="I19" s="23" t="str">
        <x:v>COMPLETED</x:v>
      </x:c>
      <x:c r="J19" s="23" t="str">
        <x:v>AC</x:v>
      </x:c>
      <x:c r="K19" s="23" t="n">
        <x:v>25</x:v>
      </x:c>
      <x:c r="L19" s="23" t="n">
        <x:v>25</x:v>
      </x:c>
      <x:c r="M19" s="64" t="n">
        <x:v>100</x:v>
      </x:c>
      <x:c r="N19" s="23" t="n">
        <x:v>1</x:v>
      </x:c>
      <x:c r="O19" s="23" t="n">
        <x:v>1</x:v>
      </x:c>
      <x:c r="P19" s="23" t="n">
        <x:v>1</x:v>
      </x:c>
      <x:c r="Q19" s="23" t="n">
        <x:v>0</x:v>
      </x:c>
      <x:c r="R19" s="23" t="str">
        <x:v>UNRESOLVED</x:v>
      </x:c>
      <x:c r="S19" s="23"/>
      <x:c r="T19" s="23" t="str">
        <x:v>AC</x:v>
      </x:c>
      <x:c r="U19" s="23" t="n">
        <x:v>25</x:v>
      </x:c>
      <x:c r="V19" s="23" t="n">
        <x:v>25</x:v>
      </x:c>
      <x:c r="W19" s="64" t="n">
        <x:v>100</x:v>
      </x:c>
      <x:c r="X19" s="23" t="n">
        <x:v>1</x:v>
      </x:c>
      <x:c r="Y19" s="23" t="n">
        <x:v>1</x:v>
      </x:c>
      <x:c r="Z19" s="23" t="n">
        <x:v>0</x:v>
      </x:c>
      <x:c r="AA19" s="23"/>
      <x:c r="AB19" s="23" t="n">
        <x:v>0</x:v>
      </x:c>
      <x:c r="AC19" s="23" t="n">
        <x:v>7</x:v>
      </x:c>
      <x:c r="AD19" s="67" t="n">
        <x:v>76301</x:v>
      </x:c>
      <x:c r="AE19" s="23" t="str">
        <x:v>runs/run_ndO7vwqrIJ3Ljjsi</x:v>
      </x:c>
    </x:row>
    <x:row r="20">
      <x:c r="A20" s="23" t="str">
        <x:v>run_HiIxKF4vvaiYEMsi</x:v>
      </x:c>
      <x:c r="B20" s="23" t="str">
        <x:v>game</x:v>
      </x:c>
      <x:c r="C20" s="23" t="str">
        <x:v>填数游戏</x:v>
      </x:c>
      <x:c r="D20" s="23" t="str">
        <x:v>noip2018</x:v>
      </x:c>
      <x:c r="E20" s="23" t="str">
        <x:v>NOI/NOI+/CTS</x:v>
      </x:c>
      <x:c r="F20" s="23" t="str">
        <x:v>current_manifest_backfill</x:v>
      </x:c>
      <x:c r="G20" s="23"/>
      <x:c r="H20" s="61" t="n">
        <x:v>46267.100273703705</x:v>
      </x:c>
      <x:c r="I20" s="23" t="str">
        <x:v>STALLED</x:v>
      </x:c>
      <x:c r="J20" s="23" t="str">
        <x:v>WA</x:v>
      </x:c>
      <x:c r="K20" s="23" t="n">
        <x:v>10</x:v>
      </x:c>
      <x:c r="L20" s="23" t="n">
        <x:v>20</x:v>
      </x:c>
      <x:c r="M20" s="64" t="n">
        <x:v>50</x:v>
      </x:c>
      <x:c r="N20" s="23" t="n">
        <x:v>0</x:v>
      </x:c>
      <x:c r="O20" s="23" t="n">
        <x:v>1</x:v>
      </x:c>
      <x:c r="P20" s="23" t="n">
        <x:v>0</x:v>
      </x:c>
      <x:c r="Q20" s="23" t="n">
        <x:v>0</x:v>
      </x:c>
      <x:c r="R20" s="23" t="str">
        <x:v>IMPLEMENTATION_MISMATCH</x:v>
      </x:c>
      <x:c r="S20" s="23"/>
      <x:c r="T20" s="23" t="str">
        <x:v>WA</x:v>
      </x:c>
      <x:c r="U20" s="23" t="n">
        <x:v>10</x:v>
      </x:c>
      <x:c r="V20" s="23" t="n">
        <x:v>20</x:v>
      </x:c>
      <x:c r="W20" s="64" t="n">
        <x:v>50</x:v>
      </x:c>
      <x:c r="X20" s="23" t="n">
        <x:v>0</x:v>
      </x:c>
      <x:c r="Y20" s="23" t="n">
        <x:v>1</x:v>
      </x:c>
      <x:c r="Z20" s="23" t="n">
        <x:v>2</x:v>
      </x:c>
      <x:c r="AA20" s="23"/>
      <x:c r="AB20" s="23" t="n">
        <x:v>0</x:v>
      </x:c>
      <x:c r="AC20" s="23" t="n">
        <x:v>13</x:v>
      </x:c>
      <x:c r="AD20" s="67" t="n">
        <x:v>293869</x:v>
      </x:c>
      <x:c r="AE20" s="23" t="str">
        <x:v>runs/run_HiIxKF4vvaiYEMsi</x:v>
      </x:c>
    </x:row>
    <x:row r="21">
      <x:c r="A21" s="23" t="str">
        <x:v>run_2zlqYfQNpQr4tOSi</x:v>
      </x:c>
      <x:c r="B21" s="23" t="str">
        <x:v>travel</x:v>
      </x:c>
      <x:c r="C21" s="23" t="str">
        <x:v>旅行</x:v>
      </x:c>
      <x:c r="D21" s="23" t="str">
        <x:v>noip2018</x:v>
      </x:c>
      <x:c r="E21" s="23" t="str">
        <x:v>提高</x:v>
      </x:c>
      <x:c r="F21" s="23" t="str">
        <x:v>current_manifest_backfill</x:v>
      </x:c>
      <x:c r="G21" s="23"/>
      <x:c r="H21" s="61" t="n">
        <x:v>46268.129971574075</x:v>
      </x:c>
      <x:c r="I21" s="23" t="str">
        <x:v>COMPLETED</x:v>
      </x:c>
      <x:c r="J21" s="23" t="str">
        <x:v>AC</x:v>
      </x:c>
      <x:c r="K21" s="23" t="n">
        <x:v>25</x:v>
      </x:c>
      <x:c r="L21" s="23" t="n">
        <x:v>25</x:v>
      </x:c>
      <x:c r="M21" s="64" t="n">
        <x:v>100</x:v>
      </x:c>
      <x:c r="N21" s="23" t="n">
        <x:v>1</x:v>
      </x:c>
      <x:c r="O21" s="23" t="n">
        <x:v>1</x:v>
      </x:c>
      <x:c r="P21" s="23" t="n">
        <x:v>1</x:v>
      </x:c>
      <x:c r="Q21" s="23" t="n">
        <x:v>0</x:v>
      </x:c>
      <x:c r="R21" s="23" t="str">
        <x:v>UNRESOLVED</x:v>
      </x:c>
      <x:c r="S21" s="23"/>
      <x:c r="T21" s="23" t="str">
        <x:v>AC</x:v>
      </x:c>
      <x:c r="U21" s="23" t="n">
        <x:v>25</x:v>
      </x:c>
      <x:c r="V21" s="23" t="n">
        <x:v>25</x:v>
      </x:c>
      <x:c r="W21" s="64" t="n">
        <x:v>100</x:v>
      </x:c>
      <x:c r="X21" s="23" t="n">
        <x:v>1</x:v>
      </x:c>
      <x:c r="Y21" s="23" t="n">
        <x:v>1</x:v>
      </x:c>
      <x:c r="Z21" s="23" t="n">
        <x:v>0</x:v>
      </x:c>
      <x:c r="AA21" s="23"/>
      <x:c r="AB21" s="23" t="n">
        <x:v>0</x:v>
      </x:c>
      <x:c r="AC21" s="23" t="n">
        <x:v>4</x:v>
      </x:c>
      <x:c r="AD21" s="67" t="n">
        <x:v>53217</x:v>
      </x:c>
      <x:c r="AE21" s="23" t="str">
        <x:v>runs/run_2zlqYfQNpQr4tOSi</x:v>
      </x:c>
    </x:row>
    <x:row r="22">
      <x:c r="A22" s="23" t="str">
        <x:v>run_R9reSD2WJqZJHWd9</x:v>
      </x:c>
      <x:c r="B22" s="23" t="str">
        <x:v>track</x:v>
      </x:c>
      <x:c r="C22" s="23" t="str">
        <x:v>赛道修建</x:v>
      </x:c>
      <x:c r="D22" s="23" t="str">
        <x:v>noip2018</x:v>
      </x:c>
      <x:c r="E22" s="23" t="str">
        <x:v>提高</x:v>
      </x:c>
      <x:c r="F22" s="23" t="str">
        <x:v>current_manifest_backfill</x:v>
      </x:c>
      <x:c r="G22" s="23"/>
      <x:c r="H22" s="61" t="n">
        <x:v>46268.26951333333</x:v>
      </x:c>
      <x:c r="I22" s="23" t="str">
        <x:v>COMPLETED</x:v>
      </x:c>
      <x:c r="J22" s="23" t="str">
        <x:v>AC</x:v>
      </x:c>
      <x:c r="K22" s="23" t="n">
        <x:v>20</x:v>
      </x:c>
      <x:c r="L22" s="23" t="n">
        <x:v>20</x:v>
      </x:c>
      <x:c r="M22" s="64" t="n">
        <x:v>100</x:v>
      </x:c>
      <x:c r="N22" s="23" t="n">
        <x:v>1</x:v>
      </x:c>
      <x:c r="O22" s="23" t="n">
        <x:v>1</x:v>
      </x:c>
      <x:c r="P22" s="23" t="n">
        <x:v>1</x:v>
      </x:c>
      <x:c r="Q22" s="23" t="n">
        <x:v>0</x:v>
      </x:c>
      <x:c r="R22" s="23" t="str">
        <x:v>UNRESOLVED</x:v>
      </x:c>
      <x:c r="S22" s="23"/>
      <x:c r="T22" s="23" t="str">
        <x:v>WA</x:v>
      </x:c>
      <x:c r="U22" s="23" t="n">
        <x:v>16</x:v>
      </x:c>
      <x:c r="V22" s="23" t="n">
        <x:v>20</x:v>
      </x:c>
      <x:c r="W22" s="64" t="n">
        <x:v>80</x:v>
      </x:c>
      <x:c r="X22" s="23" t="n">
        <x:v>0</x:v>
      </x:c>
      <x:c r="Y22" s="23" t="n">
        <x:v>1</x:v>
      </x:c>
      <x:c r="Z22" s="23" t="n">
        <x:v>1</x:v>
      </x:c>
      <x:c r="AA22" s="23"/>
      <x:c r="AB22" s="23" t="n">
        <x:v>1</x:v>
      </x:c>
      <x:c r="AC22" s="23" t="n">
        <x:v>9</x:v>
      </x:c>
      <x:c r="AD22" s="67" t="n">
        <x:v>119278</x:v>
      </x:c>
      <x:c r="AE22" s="23" t="str">
        <x:v>runs/run_R9reSD2WJqZJHWd9</x:v>
      </x:c>
    </x:row>
    <x:row r="23">
      <x:c r="A23" s="23" t="str">
        <x:v>run_Qz4NGzzFU9H4ai5V</x:v>
      </x:c>
      <x:c r="B23" s="23" t="str">
        <x:v>game</x:v>
      </x:c>
      <x:c r="C23" s="23" t="str">
        <x:v>填数游戏</x:v>
      </x:c>
      <x:c r="D23" s="23" t="str">
        <x:v>noip2018</x:v>
      </x:c>
      <x:c r="E23" s="23" t="str">
        <x:v>NOI/NOI+/CTS</x:v>
      </x:c>
      <x:c r="F23" s="23" t="str">
        <x:v>current_manifest_backfill</x:v>
      </x:c>
      <x:c r="G23" s="23"/>
      <x:c r="H23" s="61" t="n">
        <x:v>46269.16894159722</x:v>
      </x:c>
      <x:c r="I23" s="23" t="str">
        <x:v>STALLED</x:v>
      </x:c>
      <x:c r="J23" s="23" t="str">
        <x:v>TLE</x:v>
      </x:c>
      <x:c r="K23" s="23" t="n">
        <x:v>1</x:v>
      </x:c>
      <x:c r="L23" s="23" t="n">
        <x:v>20</x:v>
      </x:c>
      <x:c r="M23" s="64" t="n">
        <x:v>5</x:v>
      </x:c>
      <x:c r="N23" s="23" t="n">
        <x:v>0</x:v>
      </x:c>
      <x:c r="O23" s="23" t="n">
        <x:v>1</x:v>
      </x:c>
      <x:c r="P23" s="23" t="n">
        <x:v>0</x:v>
      </x:c>
      <x:c r="Q23" s="23" t="n">
        <x:v>0</x:v>
      </x:c>
      <x:c r="R23" s="23" t="str">
        <x:v>COMPLEXITY_TLE</x:v>
      </x:c>
      <x:c r="S23" s="23"/>
      <x:c r="T23" s="23" t="str">
        <x:v>TLE</x:v>
      </x:c>
      <x:c r="U23" s="23" t="n">
        <x:v>1</x:v>
      </x:c>
      <x:c r="V23" s="23" t="n">
        <x:v>20</x:v>
      </x:c>
      <x:c r="W23" s="64" t="n">
        <x:v>5</x:v>
      </x:c>
      <x:c r="X23" s="23" t="n">
        <x:v>0</x:v>
      </x:c>
      <x:c r="Y23" s="23" t="n">
        <x:v>1</x:v>
      </x:c>
      <x:c r="Z23" s="23" t="n">
        <x:v>2</x:v>
      </x:c>
      <x:c r="AA23" s="23"/>
      <x:c r="AB23" s="23" t="n">
        <x:v>0</x:v>
      </x:c>
      <x:c r="AC23" s="23" t="n">
        <x:v>11</x:v>
      </x:c>
      <x:c r="AD23" s="67" t="n">
        <x:v>286084</x:v>
      </x:c>
      <x:c r="AE23" s="23" t="str">
        <x:v>runs/run_Qz4NGzzFU9H4ai5V</x:v>
      </x:c>
    </x:row>
    <x:row r="24">
      <x:c r="A24" s="23" t="str">
        <x:v>run_JaRCJGH9JcKuBQX</x:v>
      </x:c>
      <x:c r="B24" s="23" t="str">
        <x:v>csps2019_senior_brackets</x:v>
      </x:c>
      <x:c r="C24" s="23" t="str">
        <x:v>括号树</x:v>
      </x:c>
      <x:c r="D24" s="23" t="str">
        <x:v>csps2019_senior</x:v>
      </x:c>
      <x:c r="E24" s="23" t="str">
        <x:v>普及+/提高−</x:v>
      </x:c>
      <x:c r="F24" s="23" t="str">
        <x:v>run_result</x:v>
      </x:c>
      <x:c r="G24" s="23"/>
      <x:c r="H24" s="61" t="n">
        <x:v>46270.39912797454</x:v>
      </x:c>
      <x:c r="I24" s="23" t="str">
        <x:v>STALLED</x:v>
      </x:c>
      <x:c r="J24" s="23" t="str">
        <x:v>AC</x:v>
      </x:c>
      <x:c r="K24" s="23" t="n">
        <x:v>20</x:v>
      </x:c>
      <x:c r="L24" s="23" t="n">
        <x:v>20</x:v>
      </x:c>
      <x:c r="M24" s="64" t="n">
        <x:v>100</x:v>
      </x:c>
      <x:c r="N24" s="23" t="n">
        <x:v>1</x:v>
      </x:c>
      <x:c r="O24" s="23" t="n">
        <x:v>0</x:v>
      </x:c>
      <x:c r="P24" s="23" t="n">
        <x:v>0</x:v>
      </x:c>
      <x:c r="Q24" s="23" t="n">
        <x:v>1</x:v>
      </x:c>
      <x:c r="R24" s="23" t="str">
        <x:v>RESULT_CORRECT_PROCESS_INVALID</x:v>
      </x:c>
      <x:c r="S24" s="23"/>
      <x:c r="T24" s="23" t="str">
        <x:v>AC</x:v>
      </x:c>
      <x:c r="U24" s="23" t="n">
        <x:v>20</x:v>
      </x:c>
      <x:c r="V24" s="23" t="n">
        <x:v>20</x:v>
      </x:c>
      <x:c r="W24" s="64" t="n">
        <x:v>100</x:v>
      </x:c>
      <x:c r="X24" s="23" t="n">
        <x:v>1</x:v>
      </x:c>
      <x:c r="Y24" s="23" t="n">
        <x:v>0</x:v>
      </x:c>
      <x:c r="Z24" s="23" t="n">
        <x:v>0</x:v>
      </x:c>
      <x:c r="AA24" s="23"/>
      <x:c r="AB24" s="23" t="n">
        <x:v>0</x:v>
      </x:c>
      <x:c r="AC24" s="23" t="n">
        <x:v>10</x:v>
      </x:c>
      <x:c r="AD24" s="67" t="n">
        <x:v>95226</x:v>
      </x:c>
      <x:c r="AE24" s="23" t="str">
        <x:v>runs/run_JaRCJGH9JcKuBQX</x:v>
      </x:c>
    </x:row>
    <x:row r="25">
      <x:c r="A25" s="23" t="str">
        <x:v>run_gOowsDgYELSN39l</x:v>
      </x:c>
      <x:c r="B25" s="23" t="str">
        <x:v>csps2019_senior_meal</x:v>
      </x:c>
      <x:c r="C25" s="23" t="str">
        <x:v>Emiya 家今天的饭</x:v>
      </x:c>
      <x:c r="D25" s="23" t="str">
        <x:v>csps2019_senior</x:v>
      </x:c>
      <x:c r="E25" s="23" t="str">
        <x:v>提高+/省选−</x:v>
      </x:c>
      <x:c r="F25" s="23" t="str">
        <x:v>run_result</x:v>
      </x:c>
      <x:c r="G25" s="23"/>
      <x:c r="H25" s="61" t="n">
        <x:v>46270.399889479166</x:v>
      </x:c>
      <x:c r="I25" s="23" t="str">
        <x:v>STALLED</x:v>
      </x:c>
      <x:c r="J25" s="23" t="str">
        <x:v>AC</x:v>
      </x:c>
      <x:c r="K25" s="23" t="n">
        <x:v>25</x:v>
      </x:c>
      <x:c r="L25" s="23" t="n">
        <x:v>25</x:v>
      </x:c>
      <x:c r="M25" s="64" t="n">
        <x:v>100</x:v>
      </x:c>
      <x:c r="N25" s="23" t="n">
        <x:v>1</x:v>
      </x:c>
      <x:c r="O25" s="23" t="n">
        <x:v>0</x:v>
      </x:c>
      <x:c r="P25" s="23" t="n">
        <x:v>0</x:v>
      </x:c>
      <x:c r="Q25" s="23" t="n">
        <x:v>1</x:v>
      </x:c>
      <x:c r="R25" s="23" t="str">
        <x:v>RESULT_CORRECT_PROCESS_INVALID</x:v>
      </x:c>
      <x:c r="S25" s="23"/>
      <x:c r="T25" s="23" t="str">
        <x:v>AC</x:v>
      </x:c>
      <x:c r="U25" s="23" t="n">
        <x:v>25</x:v>
      </x:c>
      <x:c r="V25" s="23" t="n">
        <x:v>25</x:v>
      </x:c>
      <x:c r="W25" s="64" t="n">
        <x:v>100</x:v>
      </x:c>
      <x:c r="X25" s="23" t="n">
        <x:v>1</x:v>
      </x:c>
      <x:c r="Y25" s="23" t="n">
        <x:v>0</x:v>
      </x:c>
      <x:c r="Z25" s="23" t="n">
        <x:v>2</x:v>
      </x:c>
      <x:c r="AA25" s="23"/>
      <x:c r="AB25" s="23" t="n">
        <x:v>0</x:v>
      </x:c>
      <x:c r="AC25" s="23" t="n">
        <x:v>18</x:v>
      </x:c>
      <x:c r="AD25" s="67" t="n">
        <x:v>173582</x:v>
      </x:c>
      <x:c r="AE25" s="23" t="str">
        <x:v>runs/run_gOowsDgYELSN39l</x:v>
      </x:c>
    </x:row>
    <x:row r="26">
      <x:c r="A26" s="23" t="str">
        <x:v>run_1m3mkQ91xTgx3KFV</x:v>
      </x:c>
      <x:c r="B26" s="23" t="str">
        <x:v>csps2019_senior_brackets</x:v>
      </x:c>
      <x:c r="C26" s="23" t="str">
        <x:v>括号树</x:v>
      </x:c>
      <x:c r="D26" s="23" t="str">
        <x:v>csps2019_senior</x:v>
      </x:c>
      <x:c r="E26" s="23" t="str">
        <x:v>普及+/提高−</x:v>
      </x:c>
      <x:c r="F26" s="23" t="str">
        <x:v>run_result</x:v>
      </x:c>
      <x:c r="G26" s="23"/>
      <x:c r="H26" s="61" t="n">
        <x:v>46271.12642688657</x:v>
      </x:c>
      <x:c r="I26" s="23" t="str">
        <x:v>STALLED</x:v>
      </x:c>
      <x:c r="J26" s="23" t="str">
        <x:v>AC</x:v>
      </x:c>
      <x:c r="K26" s="23" t="n">
        <x:v>20</x:v>
      </x:c>
      <x:c r="L26" s="23" t="n">
        <x:v>20</x:v>
      </x:c>
      <x:c r="M26" s="64" t="n">
        <x:v>100</x:v>
      </x:c>
      <x:c r="N26" s="23" t="n">
        <x:v>1</x:v>
      </x:c>
      <x:c r="O26" s="23" t="n">
        <x:v>0</x:v>
      </x:c>
      <x:c r="P26" s="23" t="n">
        <x:v>0</x:v>
      </x:c>
      <x:c r="Q26" s="23" t="n">
        <x:v>1</x:v>
      </x:c>
      <x:c r="R26" s="23" t="str">
        <x:v>RESULT_CORRECT_PROCESS_INVALID</x:v>
      </x:c>
      <x:c r="S26" s="23"/>
      <x:c r="T26" s="23" t="str">
        <x:v>AC</x:v>
      </x:c>
      <x:c r="U26" s="23" t="n">
        <x:v>20</x:v>
      </x:c>
      <x:c r="V26" s="23" t="n">
        <x:v>20</x:v>
      </x:c>
      <x:c r="W26" s="64" t="n">
        <x:v>100</x:v>
      </x:c>
      <x:c r="X26" s="23" t="n">
        <x:v>1</x:v>
      </x:c>
      <x:c r="Y26" s="23" t="n">
        <x:v>0</x:v>
      </x:c>
      <x:c r="Z26" s="23" t="n">
        <x:v>0</x:v>
      </x:c>
      <x:c r="AA26" s="23"/>
      <x:c r="AB26" s="23" t="n">
        <x:v>0</x:v>
      </x:c>
      <x:c r="AC26" s="23" t="n">
        <x:v>6</x:v>
      </x:c>
      <x:c r="AD26" s="67" t="n">
        <x:v>111500</x:v>
      </x:c>
      <x:c r="AE26" s="23" t="str">
        <x:v>runs/run_1m3mkQ91xTgx3KFV</x:v>
      </x:c>
    </x:row>
    <x:row r="27">
      <x:c r="A27" s="23" t="str">
        <x:v>run_krEiXGViNlhpYyxV</x:v>
      </x:c>
      <x:c r="B27" s="23" t="str">
        <x:v>csps2019_senior_meal</x:v>
      </x:c>
      <x:c r="C27" s="23" t="str">
        <x:v>Emiya 家今天的饭</x:v>
      </x:c>
      <x:c r="D27" s="23" t="str">
        <x:v>csps2019_senior</x:v>
      </x:c>
      <x:c r="E27" s="23" t="str">
        <x:v>提高+/省选−</x:v>
      </x:c>
      <x:c r="F27" s="23" t="str">
        <x:v>run_result</x:v>
      </x:c>
      <x:c r="G27" s="23"/>
      <x:c r="H27" s="61" t="n">
        <x:v>46271.12653883102</x:v>
      </x:c>
      <x:c r="I27" s="23" t="str">
        <x:v>STALLED</x:v>
      </x:c>
      <x:c r="J27" s="23" t="str">
        <x:v>AC</x:v>
      </x:c>
      <x:c r="K27" s="23" t="n">
        <x:v>25</x:v>
      </x:c>
      <x:c r="L27" s="23" t="n">
        <x:v>25</x:v>
      </x:c>
      <x:c r="M27" s="64" t="n">
        <x:v>100</x:v>
      </x:c>
      <x:c r="N27" s="23" t="n">
        <x:v>1</x:v>
      </x:c>
      <x:c r="O27" s="23" t="n">
        <x:v>0</x:v>
      </x:c>
      <x:c r="P27" s="23" t="n">
        <x:v>0</x:v>
      </x:c>
      <x:c r="Q27" s="23" t="n">
        <x:v>1</x:v>
      </x:c>
      <x:c r="R27" s="23" t="str">
        <x:v>RESULT_CORRECT_PROCESS_INVALID</x:v>
      </x:c>
      <x:c r="S27" s="23"/>
      <x:c r="T27" s="23" t="str">
        <x:v>AC</x:v>
      </x:c>
      <x:c r="U27" s="23" t="n">
        <x:v>25</x:v>
      </x:c>
      <x:c r="V27" s="23" t="n">
        <x:v>25</x:v>
      </x:c>
      <x:c r="W27" s="64" t="n">
        <x:v>100</x:v>
      </x:c>
      <x:c r="X27" s="23" t="n">
        <x:v>1</x:v>
      </x:c>
      <x:c r="Y27" s="23" t="n">
        <x:v>0</x:v>
      </x:c>
      <x:c r="Z27" s="23" t="n">
        <x:v>0</x:v>
      </x:c>
      <x:c r="AA27" s="23"/>
      <x:c r="AB27" s="23" t="n">
        <x:v>0</x:v>
      </x:c>
      <x:c r="AC27" s="23" t="n">
        <x:v>7</x:v>
      </x:c>
      <x:c r="AD27" s="67" t="n">
        <x:v>207346</x:v>
      </x:c>
      <x:c r="AE27" s="23" t="str">
        <x:v>runs/run_krEiXGViNlhpYyxV</x:v>
      </x:c>
    </x:row>
    <x:row r="28">
      <x:c r="A28" s="23" t="str">
        <x:v>run_4J2fCnZb2kPE91LY</x:v>
      </x:c>
      <x:c r="B28" s="23" t="str">
        <x:v>csps2021_senior_palin</x:v>
      </x:c>
      <x:c r="C28" s="23" t="str">
        <x:v>回文</x:v>
      </x:c>
      <x:c r="D28" s="23" t="str">
        <x:v>csps2021_senior</x:v>
      </x:c>
      <x:c r="E28" s="23" t="str">
        <x:v>普及+/提高−</x:v>
      </x:c>
      <x:c r="F28" s="23" t="str">
        <x:v>run_result</x:v>
      </x:c>
      <x:c r="G28" s="23"/>
      <x:c r="H28" s="61" t="n">
        <x:v>46271.12725644676</x:v>
      </x:c>
      <x:c r="I28" s="23" t="str">
        <x:v>MAX_ROUNDS</x:v>
      </x:c>
      <x:c r="J28" s="23" t="str">
        <x:v>WA</x:v>
      </x:c>
      <x:c r="K28" s="23" t="n">
        <x:v>6</x:v>
      </x:c>
      <x:c r="L28" s="23" t="n">
        <x:v>25</x:v>
      </x:c>
      <x:c r="M28" s="64" t="n">
        <x:v>24</x:v>
      </x:c>
      <x:c r="N28" s="23" t="n">
        <x:v>0</x:v>
      </x:c>
      <x:c r="O28" s="23" t="n">
        <x:v>0</x:v>
      </x:c>
      <x:c r="P28" s="23" t="n">
        <x:v>0</x:v>
      </x:c>
      <x:c r="Q28" s="23" t="n">
        <x:v>0</x:v>
      </x:c>
      <x:c r="R28" s="23" t="str">
        <x:v>IMPLEMENTATION_MISMATCH</x:v>
      </x:c>
      <x:c r="S28" s="23"/>
      <x:c r="T28" s="23" t="str">
        <x:v>WA</x:v>
      </x:c>
      <x:c r="U28" s="23" t="n">
        <x:v>4</x:v>
      </x:c>
      <x:c r="V28" s="23" t="n">
        <x:v>25</x:v>
      </x:c>
      <x:c r="W28" s="64" t="n">
        <x:v>16</x:v>
      </x:c>
      <x:c r="X28" s="23" t="n">
        <x:v>0</x:v>
      </x:c>
      <x:c r="Y28" s="23" t="n">
        <x:v>0</x:v>
      </x:c>
      <x:c r="Z28" s="23" t="n">
        <x:v>3</x:v>
      </x:c>
      <x:c r="AA28" s="23"/>
      <x:c r="AB28" s="23" t="n">
        <x:v>0</x:v>
      </x:c>
      <x:c r="AC28" s="23" t="n">
        <x:v>17</x:v>
      </x:c>
      <x:c r="AD28" s="67" t="n">
        <x:v>526435</x:v>
      </x:c>
      <x:c r="AE28" s="23" t="str">
        <x:v>runs/run_4J2fCnZb2kPE91LY</x:v>
      </x:c>
    </x:row>
    <x:row r="29">
      <x:c r="A29" s="23" t="str">
        <x:v>run_x9TrdvwNh7zDpLd</x:v>
      </x:c>
      <x:c r="B29" s="23" t="str">
        <x:v>noip2015_senior_landlords</x:v>
      </x:c>
      <x:c r="C29" s="23" t="str">
        <x:v>斗地主</x:v>
      </x:c>
      <x:c r="D29" s="23" t="str">
        <x:v>noip2015_senior</x:v>
      </x:c>
      <x:c r="E29" s="23" t="str">
        <x:v>提高</x:v>
      </x:c>
      <x:c r="F29" s="23" t="str">
        <x:v>run_result</x:v>
      </x:c>
      <x:c r="G29" s="23"/>
      <x:c r="H29" s="61" t="n">
        <x:v>46271.14743457176</x:v>
      </x:c>
      <x:c r="I29" s="23" t="str">
        <x:v>STALLED</x:v>
      </x:c>
      <x:c r="J29" s="23" t="str">
        <x:v>AC</x:v>
      </x:c>
      <x:c r="K29" s="23" t="n">
        <x:v>20</x:v>
      </x:c>
      <x:c r="L29" s="23" t="n">
        <x:v>20</x:v>
      </x:c>
      <x:c r="M29" s="64" t="n">
        <x:v>100</x:v>
      </x:c>
      <x:c r="N29" s="23" t="n">
        <x:v>1</x:v>
      </x:c>
      <x:c r="O29" s="23" t="n">
        <x:v>0</x:v>
      </x:c>
      <x:c r="P29" s="23" t="n">
        <x:v>0</x:v>
      </x:c>
      <x:c r="Q29" s="23" t="n">
        <x:v>1</x:v>
      </x:c>
      <x:c r="R29" s="23" t="str">
        <x:v>RESULT_CORRECT_PROCESS_INVALID</x:v>
      </x:c>
      <x:c r="S29" s="23"/>
      <x:c r="T29" s="23"/>
      <x:c r="U29" s="23"/>
      <x:c r="V29" s="23"/>
      <x:c r="W29" s="64"/>
      <x:c r="X29" s="23" t="n">
        <x:v>0</x:v>
      </x:c>
      <x:c r="Y29" s="23" t="n">
        <x:v>0</x:v>
      </x:c>
      <x:c r="Z29" s="23" t="n">
        <x:v>4</x:v>
      </x:c>
      <x:c r="AA29" s="23"/>
      <x:c r="AB29" s="23" t="n">
        <x:v>0</x:v>
      </x:c>
      <x:c r="AC29" s="23" t="n">
        <x:v>27</x:v>
      </x:c>
      <x:c r="AD29" s="67" t="n">
        <x:v>921689</x:v>
      </x:c>
      <x:c r="AE29" s="23" t="str">
        <x:v>runs/run_x9TrdvwNh7zDpLd</x:v>
      </x:c>
    </x:row>
    <x:row r="30">
      <x:c r="A30" s="23" t="str">
        <x:v>run_RZhgOq4sIca4uq9E</x:v>
      </x:c>
      <x:c r="B30" s="23" t="str">
        <x:v>csps2021_senior_traffic</x:v>
      </x:c>
      <x:c r="C30" s="23" t="str">
        <x:v>交通规划</x:v>
      </x:c>
      <x:c r="D30" s="23" t="str">
        <x:v>csps2021_senior</x:v>
      </x:c>
      <x:c r="E30" s="23" t="str">
        <x:v>省选/NOI−</x:v>
      </x:c>
      <x:c r="F30" s="23" t="str">
        <x:v>run_result</x:v>
      </x:c>
      <x:c r="G30" s="23"/>
      <x:c r="H30" s="61" t="n">
        <x:v>46271.14758386574</x:v>
      </x:c>
      <x:c r="I30" s="23" t="str">
        <x:v>STALLED</x:v>
      </x:c>
      <x:c r="J30" s="23" t="str">
        <x:v>TLE</x:v>
      </x:c>
      <x:c r="K30" s="23" t="n">
        <x:v>12</x:v>
      </x:c>
      <x:c r="L30" s="23" t="n">
        <x:v>20</x:v>
      </x:c>
      <x:c r="M30" s="64" t="n">
        <x:v>60</x:v>
      </x:c>
      <x:c r="N30" s="23" t="n">
        <x:v>0</x:v>
      </x:c>
      <x:c r="O30" s="23" t="n">
        <x:v>0</x:v>
      </x:c>
      <x:c r="P30" s="23" t="n">
        <x:v>0</x:v>
      </x:c>
      <x:c r="Q30" s="23" t="n">
        <x:v>0</x:v>
      </x:c>
      <x:c r="R30" s="23" t="str">
        <x:v>COMPLEXITY_TLE</x:v>
      </x:c>
      <x:c r="S30" s="23"/>
      <x:c r="T30" s="23" t="str">
        <x:v>TLE</x:v>
      </x:c>
      <x:c r="U30" s="23" t="n">
        <x:v>12</x:v>
      </x:c>
      <x:c r="V30" s="23" t="n">
        <x:v>20</x:v>
      </x:c>
      <x:c r="W30" s="64" t="n">
        <x:v>60</x:v>
      </x:c>
      <x:c r="X30" s="23" t="n">
        <x:v>0</x:v>
      </x:c>
      <x:c r="Y30" s="23" t="n">
        <x:v>0</x:v>
      </x:c>
      <x:c r="Z30" s="23" t="n">
        <x:v>2</x:v>
      </x:c>
      <x:c r="AA30" s="23"/>
      <x:c r="AB30" s="23" t="n">
        <x:v>0</x:v>
      </x:c>
      <x:c r="AC30" s="23" t="n">
        <x:v>18</x:v>
      </x:c>
      <x:c r="AD30" s="67" t="n">
        <x:v>794420</x:v>
      </x:c>
      <x:c r="AE30" s="23" t="str">
        <x:v>runs/run_RZhgOq4sIca4uq9E</x:v>
      </x:c>
    </x:row>
    <x:row r="31">
      <x:c r="A31" s="23" t="str">
        <x:v>run_h8aOaqaYevsrDVh2</x:v>
      </x:c>
      <x:c r="B31" s="23" t="str">
        <x:v>noip2016_senior_running</x:v>
      </x:c>
      <x:c r="C31" s="23" t="str">
        <x:v>天天爱跑步</x:v>
      </x:c>
      <x:c r="D31" s="23" t="str">
        <x:v>noip2016_senior</x:v>
      </x:c>
      <x:c r="E31" s="23" t="str">
        <x:v>省选/NOI−</x:v>
      </x:c>
      <x:c r="F31" s="23" t="str">
        <x:v>run_result</x:v>
      </x:c>
      <x:c r="G31" s="23"/>
      <x:c r="H31" s="61" t="n">
        <x:v>46271.19624456018</x:v>
      </x:c>
      <x:c r="I31" s="23" t="str">
        <x:v>STALLED</x:v>
      </x:c>
      <x:c r="J31" s="23" t="str">
        <x:v>AC</x:v>
      </x:c>
      <x:c r="K31" s="23" t="n">
        <x:v>20</x:v>
      </x:c>
      <x:c r="L31" s="23" t="n">
        <x:v>20</x:v>
      </x:c>
      <x:c r="M31" s="64" t="n">
        <x:v>100</x:v>
      </x:c>
      <x:c r="N31" s="23" t="n">
        <x:v>1</x:v>
      </x:c>
      <x:c r="O31" s="23" t="n">
        <x:v>0</x:v>
      </x:c>
      <x:c r="P31" s="23" t="n">
        <x:v>0</x:v>
      </x:c>
      <x:c r="Q31" s="23" t="n">
        <x:v>1</x:v>
      </x:c>
      <x:c r="R31" s="23" t="str">
        <x:v>RESULT_CORRECT_PROCESS_INVALID</x:v>
      </x:c>
      <x:c r="S31" s="23"/>
      <x:c r="T31" s="23" t="str">
        <x:v>AC</x:v>
      </x:c>
      <x:c r="U31" s="23" t="n">
        <x:v>20</x:v>
      </x:c>
      <x:c r="V31" s="23" t="n">
        <x:v>20</x:v>
      </x:c>
      <x:c r="W31" s="64" t="n">
        <x:v>100</x:v>
      </x:c>
      <x:c r="X31" s="23" t="n">
        <x:v>1</x:v>
      </x:c>
      <x:c r="Y31" s="23" t="n">
        <x:v>0</x:v>
      </x:c>
      <x:c r="Z31" s="23" t="n">
        <x:v>0</x:v>
      </x:c>
      <x:c r="AA31" s="23"/>
      <x:c r="AB31" s="23" t="n">
        <x:v>0</x:v>
      </x:c>
      <x:c r="AC31" s="23" t="n">
        <x:v>9</x:v>
      </x:c>
      <x:c r="AD31" s="67" t="n">
        <x:v>112636</x:v>
      </x:c>
      <x:c r="AE31" s="23" t="str">
        <x:v>runs/run_h8aOaqaYevsrDVh2</x:v>
      </x:c>
    </x:row>
    <x:row r="32">
      <x:c r="A32" s="23" t="str">
        <x:v>run_AIB1sepiUBYipqs6</x:v>
      </x:c>
      <x:c r="B32" s="23" t="str">
        <x:v>csps2024_senior_color</x:v>
      </x:c>
      <x:c r="C32" s="23" t="str">
        <x:v>染色</x:v>
      </x:c>
      <x:c r="D32" s="23" t="str">
        <x:v>csps2024_senior</x:v>
      </x:c>
      <x:c r="E32" s="23" t="str">
        <x:v>提高</x:v>
      </x:c>
      <x:c r="F32" s="23" t="str">
        <x:v>run_result</x:v>
      </x:c>
      <x:c r="G32" s="23"/>
      <x:c r="H32" s="61" t="n">
        <x:v>46271.24608921296</x:v>
      </x:c>
      <x:c r="I32" s="23" t="str">
        <x:v>STALLED</x:v>
      </x:c>
      <x:c r="J32" s="23" t="str">
        <x:v>AC</x:v>
      </x:c>
      <x:c r="K32" s="23" t="n">
        <x:v>20</x:v>
      </x:c>
      <x:c r="L32" s="23" t="n">
        <x:v>20</x:v>
      </x:c>
      <x:c r="M32" s="64" t="n">
        <x:v>100</x:v>
      </x:c>
      <x:c r="N32" s="23" t="n">
        <x:v>1</x:v>
      </x:c>
      <x:c r="O32" s="23" t="n">
        <x:v>0</x:v>
      </x:c>
      <x:c r="P32" s="23" t="n">
        <x:v>0</x:v>
      </x:c>
      <x:c r="Q32" s="23" t="n">
        <x:v>1</x:v>
      </x:c>
      <x:c r="R32" s="23" t="str">
        <x:v>RESULT_CORRECT_PROCESS_INVALID</x:v>
      </x:c>
      <x:c r="S32" s="23"/>
      <x:c r="T32" s="23" t="str">
        <x:v>AC</x:v>
      </x:c>
      <x:c r="U32" s="23" t="n">
        <x:v>20</x:v>
      </x:c>
      <x:c r="V32" s="23" t="n">
        <x:v>20</x:v>
      </x:c>
      <x:c r="W32" s="64" t="n">
        <x:v>100</x:v>
      </x:c>
      <x:c r="X32" s="23" t="n">
        <x:v>1</x:v>
      </x:c>
      <x:c r="Y32" s="23" t="n">
        <x:v>0</x:v>
      </x:c>
      <x:c r="Z32" s="23" t="n">
        <x:v>0</x:v>
      </x:c>
      <x:c r="AA32" s="23"/>
      <x:c r="AB32" s="23" t="n">
        <x:v>0</x:v>
      </x:c>
      <x:c r="AC32" s="23" t="n">
        <x:v>6</x:v>
      </x:c>
      <x:c r="AD32" s="67" t="n">
        <x:v>119826</x:v>
      </x:c>
      <x:c r="AE32" s="23" t="str">
        <x:v>runs/run_AIB1sepiUBYipqs6</x:v>
      </x:c>
    </x:row>
    <x:row r="33">
      <x:c r="A33" s="23" t="str">
        <x:v>run_vMxdYTby7QvXz0y</x:v>
      </x:c>
      <x:c r="B33" s="23" t="str">
        <x:v>road</x:v>
      </x:c>
      <x:c r="C33" s="23" t="str">
        <x:v>铺设道路</x:v>
      </x:c>
      <x:c r="D33" s="23" t="str">
        <x:v>noip2018</x:v>
      </x:c>
      <x:c r="E33" s="23" t="str">
        <x:v>普及</x:v>
      </x:c>
      <x:c r="F33" s="23" t="str">
        <x:v>run_result</x:v>
      </x:c>
      <x:c r="G33" s="23"/>
      <x:c r="H33" s="61" t="n">
        <x:v>46273.28592785879</x:v>
      </x:c>
      <x:c r="I33" s="23" t="str">
        <x:v>STALLED</x:v>
      </x:c>
      <x:c r="J33" s="23" t="str">
        <x:v>AC</x:v>
      </x:c>
      <x:c r="K33" s="23" t="n">
        <x:v>10</x:v>
      </x:c>
      <x:c r="L33" s="23" t="n">
        <x:v>10</x:v>
      </x:c>
      <x:c r="M33" s="64" t="n">
        <x:v>100</x:v>
      </x:c>
      <x:c r="N33" s="23" t="n">
        <x:v>1</x:v>
      </x:c>
      <x:c r="O33" s="23" t="n">
        <x:v>0</x:v>
      </x:c>
      <x:c r="P33" s="23" t="n">
        <x:v>0</x:v>
      </x:c>
      <x:c r="Q33" s="23" t="n">
        <x:v>1</x:v>
      </x:c>
      <x:c r="R33" s="23" t="str">
        <x:v>RESULT_CORRECT_PROCESS_INVALID</x:v>
      </x:c>
      <x:c r="S33" s="23"/>
      <x:c r="T33" s="23" t="str">
        <x:v>AC</x:v>
      </x:c>
      <x:c r="U33" s="23" t="n">
        <x:v>10</x:v>
      </x:c>
      <x:c r="V33" s="23" t="n">
        <x:v>10</x:v>
      </x:c>
      <x:c r="W33" s="64" t="n">
        <x:v>100</x:v>
      </x:c>
      <x:c r="X33" s="23" t="n">
        <x:v>1</x:v>
      </x:c>
      <x:c r="Y33" s="23" t="n">
        <x:v>0</x:v>
      </x:c>
      <x:c r="Z33" s="23" t="n">
        <x:v>0</x:v>
      </x:c>
      <x:c r="AA33" s="23"/>
      <x:c r="AB33" s="23" t="n">
        <x:v>0</x:v>
      </x:c>
      <x:c r="AC33" s="23" t="n">
        <x:v>6</x:v>
      </x:c>
      <x:c r="AD33" s="67" t="n">
        <x:v>49361</x:v>
      </x:c>
      <x:c r="AE33" s="23" t="str">
        <x:v>runs/run_vMxdYTby7QvXz0y</x:v>
      </x:c>
    </x:row>
    <x:row r="34">
      <x:c r="A34" s="23" t="str">
        <x:v>run_sSpjunh6rWVHSBmV</x:v>
      </x:c>
      <x:c r="B34" s="23" t="str">
        <x:v>csps2019_senior_tree</x:v>
      </x:c>
      <x:c r="C34" s="23" t="str">
        <x:v>树上的数</x:v>
      </x:c>
      <x:c r="D34" s="23" t="str">
        <x:v>csps2019_senior</x:v>
      </x:c>
      <x:c r="E34" s="23" t="str">
        <x:v>NOI/NOI+/CTS</x:v>
      </x:c>
      <x:c r="F34" s="23" t="str">
        <x:v>run_result</x:v>
      </x:c>
      <x:c r="G34" s="23"/>
      <x:c r="H34" s="61" t="n">
        <x:v>46273.56739833333</x:v>
      </x:c>
      <x:c r="I34" s="23" t="str">
        <x:v>STALLED</x:v>
      </x:c>
      <x:c r="J34" s="23" t="str">
        <x:v>TLE</x:v>
      </x:c>
      <x:c r="K34" s="23" t="n">
        <x:v>0</x:v>
      </x:c>
      <x:c r="L34" s="23" t="n">
        <x:v>20</x:v>
      </x:c>
      <x:c r="M34" s="64" t="n">
        <x:v>0</x:v>
      </x:c>
      <x:c r="N34" s="23" t="n">
        <x:v>0</x:v>
      </x:c>
      <x:c r="O34" s="23" t="n">
        <x:v>0</x:v>
      </x:c>
      <x:c r="P34" s="23" t="n">
        <x:v>0</x:v>
      </x:c>
      <x:c r="Q34" s="23" t="n">
        <x:v>0</x:v>
      </x:c>
      <x:c r="R34" s="23" t="str">
        <x:v>COMPLEXITY_TLE</x:v>
      </x:c>
      <x:c r="S34" s="23"/>
      <x:c r="T34" s="23" t="str">
        <x:v>TLE</x:v>
      </x:c>
      <x:c r="U34" s="23" t="n">
        <x:v>0</x:v>
      </x:c>
      <x:c r="V34" s="23" t="n">
        <x:v>20</x:v>
      </x:c>
      <x:c r="W34" s="64" t="n">
        <x:v>0</x:v>
      </x:c>
      <x:c r="X34" s="23" t="n">
        <x:v>0</x:v>
      </x:c>
      <x:c r="Y34" s="23" t="n">
        <x:v>0</x:v>
      </x:c>
      <x:c r="Z34" s="23" t="n">
        <x:v>2</x:v>
      </x:c>
      <x:c r="AA34" s="23"/>
      <x:c r="AB34" s="23" t="n">
        <x:v>0</x:v>
      </x:c>
      <x:c r="AC34" s="23" t="n">
        <x:v>18</x:v>
      </x:c>
      <x:c r="AD34" s="67" t="n">
        <x:v>421105</x:v>
      </x:c>
      <x:c r="AE34" s="23" t="str">
        <x:v>runs/run_sSpjunh6rWVHSBmV</x:v>
      </x:c>
    </x:row>
    <x:row r="35">
      <x:c r="A35" s="23" t="str">
        <x:v>run_Uzytk8n4cDblWHh</x:v>
      </x:c>
      <x:c r="B35" s="23" t="str">
        <x:v>road</x:v>
      </x:c>
      <x:c r="C35" s="23" t="str">
        <x:v>铺设道路</x:v>
      </x:c>
      <x:c r="D35" s="23" t="str">
        <x:v>noip2018</x:v>
      </x:c>
      <x:c r="E35" s="23" t="str">
        <x:v>普及</x:v>
      </x:c>
      <x:c r="F35" s="23" t="str">
        <x:v>run_result</x:v>
      </x:c>
      <x:c r="G35" s="23"/>
      <x:c r="H35" s="61" t="n">
        <x:v>46274.3240959375</x:v>
      </x:c>
      <x:c r="I35" s="23" t="str">
        <x:v>COMPLETED</x:v>
      </x:c>
      <x:c r="J35" s="23" t="str">
        <x:v>AC</x:v>
      </x:c>
      <x:c r="K35" s="23" t="n">
        <x:v>10</x:v>
      </x:c>
      <x:c r="L35" s="23" t="n">
        <x:v>10</x:v>
      </x:c>
      <x:c r="M35" s="64" t="n">
        <x:v>100</x:v>
      </x:c>
      <x:c r="N35" s="23" t="n">
        <x:v>1</x:v>
      </x:c>
      <x:c r="O35" s="23" t="n">
        <x:v>1</x:v>
      </x:c>
      <x:c r="P35" s="23" t="n">
        <x:v>1</x:v>
      </x:c>
      <x:c r="Q35" s="23" t="n">
        <x:v>0</x:v>
      </x:c>
      <x:c r="R35" s="23" t="str">
        <x:v>UNRESOLVED</x:v>
      </x:c>
      <x:c r="S35" s="23"/>
      <x:c r="T35" s="23" t="str">
        <x:v>AC</x:v>
      </x:c>
      <x:c r="U35" s="23" t="n">
        <x:v>10</x:v>
      </x:c>
      <x:c r="V35" s="23" t="n">
        <x:v>10</x:v>
      </x:c>
      <x:c r="W35" s="64" t="n">
        <x:v>100</x:v>
      </x:c>
      <x:c r="X35" s="23" t="n">
        <x:v>1</x:v>
      </x:c>
      <x:c r="Y35" s="23" t="n">
        <x:v>0</x:v>
      </x:c>
      <x:c r="Z35" s="23" t="n">
        <x:v>1</x:v>
      </x:c>
      <x:c r="AA35" s="23"/>
      <x:c r="AB35" s="23" t="n">
        <x:v>1</x:v>
      </x:c>
      <x:c r="AC35" s="23" t="n">
        <x:v>10</x:v>
      </x:c>
      <x:c r="AD35" s="67" t="n">
        <x:v>86175</x:v>
      </x:c>
      <x:c r="AE35" s="23" t="str">
        <x:v>runs/run_Uzytk8n4cDblWHh</x:v>
      </x:c>
    </x:row>
    <x:row r="36">
      <x:c r="A36" s="23" t="str">
        <x:v>run_Uqj8Z6xbzUlhxkkF</x:v>
      </x:c>
      <x:c r="B36" s="23" t="str">
        <x:v>defense</x:v>
      </x:c>
      <x:c r="C36" s="23" t="str">
        <x:v>保卫王国</x:v>
      </x:c>
      <x:c r="D36" s="23" t="str">
        <x:v>noip2018</x:v>
      </x:c>
      <x:c r="E36" s="23" t="str">
        <x:v>省选/NOI−</x:v>
      </x:c>
      <x:c r="F36" s="23" t="str">
        <x:v>run_result</x:v>
      </x:c>
      <x:c r="G36" s="23"/>
      <x:c r="H36" s="61" t="n">
        <x:v>46274.324099618054</x:v>
      </x:c>
      <x:c r="I36" s="23" t="str">
        <x:v>MAX_ROUNDS</x:v>
      </x:c>
      <x:c r="J36" s="23" t="str">
        <x:v>WA</x:v>
      </x:c>
      <x:c r="K36" s="23" t="n">
        <x:v>21</x:v>
      </x:c>
      <x:c r="L36" s="23" t="n">
        <x:v>25</x:v>
      </x:c>
      <x:c r="M36" s="64" t="n">
        <x:v>84</x:v>
      </x:c>
      <x:c r="N36" s="23" t="n">
        <x:v>0</x:v>
      </x:c>
      <x:c r="O36" s="23" t="n">
        <x:v>0</x:v>
      </x:c>
      <x:c r="P36" s="23" t="n">
        <x:v>0</x:v>
      </x:c>
      <x:c r="Q36" s="23" t="n">
        <x:v>0</x:v>
      </x:c>
      <x:c r="R36" s="23" t="str">
        <x:v>IMPLEMENTATION_MISMATCH</x:v>
      </x:c>
      <x:c r="S36" s="23" t="str">
        <x:v>S7</x:v>
      </x:c>
      <x:c r="T36" s="23" t="str">
        <x:v>TLE</x:v>
      </x:c>
      <x:c r="U36" s="23" t="n">
        <x:v>0</x:v>
      </x:c>
      <x:c r="V36" s="23" t="n">
        <x:v>25</x:v>
      </x:c>
      <x:c r="W36" s="64" t="n">
        <x:v>0</x:v>
      </x:c>
      <x:c r="X36" s="23" t="n">
        <x:v>0</x:v>
      </x:c>
      <x:c r="Y36" s="23" t="n">
        <x:v>0</x:v>
      </x:c>
      <x:c r="Z36" s="23" t="n">
        <x:v>3</x:v>
      </x:c>
      <x:c r="AA36" s="23"/>
      <x:c r="AB36" s="23" t="n">
        <x:v>0</x:v>
      </x:c>
      <x:c r="AC36" s="23" t="n">
        <x:v>12</x:v>
      </x:c>
      <x:c r="AD36" s="67" t="n">
        <x:v>263241</x:v>
      </x:c>
      <x:c r="AE36" s="23" t="str">
        <x:v>runs/run_Uqj8Z6xbzUlhxkkF</x:v>
      </x:c>
    </x:row>
    <x:row r="37">
      <x:c r="A37" s="23" t="str">
        <x:v>run_i1nHsivyYsMJAGAf</x:v>
      </x:c>
      <x:c r="B37" s="23" t="str">
        <x:v>csps2019_senior_tree</x:v>
      </x:c>
      <x:c r="C37" s="23" t="str">
        <x:v>树上的数</x:v>
      </x:c>
      <x:c r="D37" s="23" t="str">
        <x:v>csps2019_senior</x:v>
      </x:c>
      <x:c r="E37" s="23" t="str">
        <x:v>NOI/NOI+/CTS</x:v>
      </x:c>
      <x:c r="F37" s="23" t="str">
        <x:v>run_result</x:v>
      </x:c>
      <x:c r="G37" s="23"/>
      <x:c r="H37" s="61" t="n">
        <x:v>46275.091391539354</x:v>
      </x:c>
      <x:c r="I37" s="23" t="str">
        <x:v>STALLED</x:v>
      </x:c>
      <x:c r="J37" s="23" t="str">
        <x:v>TLE</x:v>
      </x:c>
      <x:c r="K37" s="23" t="n">
        <x:v>0</x:v>
      </x:c>
      <x:c r="L37" s="23" t="n">
        <x:v>20</x:v>
      </x:c>
      <x:c r="M37" s="64" t="n">
        <x:v>0</x:v>
      </x:c>
      <x:c r="N37" s="23" t="n">
        <x:v>0</x:v>
      </x:c>
      <x:c r="O37" s="23" t="n">
        <x:v>0</x:v>
      </x:c>
      <x:c r="P37" s="23" t="n">
        <x:v>0</x:v>
      </x:c>
      <x:c r="Q37" s="23" t="n">
        <x:v>0</x:v>
      </x:c>
      <x:c r="R37" s="23" t="str">
        <x:v>COMPLEXITY_TLE</x:v>
      </x:c>
      <x:c r="S37" s="23"/>
      <x:c r="T37" s="23"/>
      <x:c r="U37" s="23"/>
      <x:c r="V37" s="23"/>
      <x:c r="W37" s="64"/>
      <x:c r="X37" s="23" t="n">
        <x:v>0</x:v>
      </x:c>
      <x:c r="Y37" s="23" t="n">
        <x:v>0</x:v>
      </x:c>
      <x:c r="Z37" s="23" t="n">
        <x:v>3</x:v>
      </x:c>
      <x:c r="AA37" s="23" t="n">
        <x:v>3</x:v>
      </x:c>
      <x:c r="AB37" s="23" t="n">
        <x:v>0</x:v>
      </x:c>
      <x:c r="AC37" s="23" t="n">
        <x:v>6</x:v>
      </x:c>
      <x:c r="AD37" s="67" t="n">
        <x:v>326254</x:v>
      </x:c>
      <x:c r="AE37" s="23" t="str">
        <x:v>runs/run_i1nHsivyYsMJAGAf</x:v>
      </x:c>
    </x:row>
    <x:row r="38">
      <x:c r="A38" s="23" t="str">
        <x:v>run_tsJab6z3l0ujrLvM</x:v>
      </x:c>
      <x:c r="B38" s="23" t="str">
        <x:v>csps2019_senior_tree</x:v>
      </x:c>
      <x:c r="C38" s="23" t="str">
        <x:v>树上的数</x:v>
      </x:c>
      <x:c r="D38" s="23" t="str">
        <x:v>csps2019_senior</x:v>
      </x:c>
      <x:c r="E38" s="23" t="str">
        <x:v>NOI/NOI+/CTS</x:v>
      </x:c>
      <x:c r="F38" s="23" t="str">
        <x:v>run_result</x:v>
      </x:c>
      <x:c r="G38" s="23"/>
      <x:c r="H38" s="61" t="n">
        <x:v>46275.239612997684</x:v>
      </x:c>
      <x:c r="I38" s="23" t="str">
        <x:v>REPAIR_DISABLED</x:v>
      </x:c>
      <x:c r="J38" s="23" t="str">
        <x:v>TLE</x:v>
      </x:c>
      <x:c r="K38" s="23" t="n">
        <x:v>0</x:v>
      </x:c>
      <x:c r="L38" s="23" t="n">
        <x:v>20</x:v>
      </x:c>
      <x:c r="M38" s="64" t="n">
        <x:v>0</x:v>
      </x:c>
      <x:c r="N38" s="23" t="n">
        <x:v>0</x:v>
      </x:c>
      <x:c r="O38" s="23" t="n">
        <x:v>0</x:v>
      </x:c>
      <x:c r="P38" s="23" t="n">
        <x:v>0</x:v>
      </x:c>
      <x:c r="Q38" s="23" t="n">
        <x:v>0</x:v>
      </x:c>
      <x:c r="R38" s="23" t="str">
        <x:v>COMPLEXITY_TLE</x:v>
      </x:c>
      <x:c r="S38" s="23"/>
      <x:c r="T38" s="23" t="str">
        <x:v>TLE</x:v>
      </x:c>
      <x:c r="U38" s="23" t="n">
        <x:v>0</x:v>
      </x:c>
      <x:c r="V38" s="23" t="n">
        <x:v>20</x:v>
      </x:c>
      <x:c r="W38" s="64" t="n">
        <x:v>0</x:v>
      </x:c>
      <x:c r="X38" s="23" t="n">
        <x:v>0</x:v>
      </x:c>
      <x:c r="Y38" s="23" t="n">
        <x:v>0</x:v>
      </x:c>
      <x:c r="Z38" s="23" t="n">
        <x:v>0</x:v>
      </x:c>
      <x:c r="AA38" s="23" t="n">
        <x:v>0</x:v>
      </x:c>
      <x:c r="AB38" s="23" t="n">
        <x:v>0</x:v>
      </x:c>
      <x:c r="AC38" s="23" t="n">
        <x:v>3</x:v>
      </x:c>
      <x:c r="AD38" s="67" t="n">
        <x:v>195011</x:v>
      </x:c>
      <x:c r="AE38" s="23" t="str">
        <x:v>runs/run_tsJab6z3l0ujrLvM</x:v>
      </x:c>
    </x:row>
    <x:row r="39">
      <x:c r="A39" s="23" t="str">
        <x:v>run_FtEaK8qwSchJzpfN</x:v>
      </x:c>
      <x:c r="B39" s="23" t="str">
        <x:v>csps2019_senior_centroid</x:v>
      </x:c>
      <x:c r="C39" s="23" t="str">
        <x:v>树的重心</x:v>
      </x:c>
      <x:c r="D39" s="23" t="str">
        <x:v>csps2019_senior</x:v>
      </x:c>
      <x:c r="E39" s="23" t="str">
        <x:v>省选/NOI−</x:v>
      </x:c>
      <x:c r="F39" s="23" t="str">
        <x:v>run_result</x:v>
      </x:c>
      <x:c r="G39" s="23" t="str">
        <x:v>collection-20260910T103603Z</x:v>
      </x:c>
      <x:c r="H39" s="61" t="n">
        <x:v>46275.441705034726</x:v>
      </x:c>
      <x:c r="I39" s="23" t="str">
        <x:v>STALLED</x:v>
      </x:c>
      <x:c r="J39" s="23" t="str">
        <x:v>WA</x:v>
      </x:c>
      <x:c r="K39" s="23" t="n">
        <x:v>1</x:v>
      </x:c>
      <x:c r="L39" s="23" t="n">
        <x:v>20</x:v>
      </x:c>
      <x:c r="M39" s="64" t="n">
        <x:v>5</x:v>
      </x:c>
      <x:c r="N39" s="23" t="n">
        <x:v>0</x:v>
      </x:c>
      <x:c r="O39" s="23" t="n">
        <x:v>0</x:v>
      </x:c>
      <x:c r="P39" s="23" t="n">
        <x:v>0</x:v>
      </x:c>
      <x:c r="Q39" s="23" t="n">
        <x:v>0</x:v>
      </x:c>
      <x:c r="R39" s="23" t="str">
        <x:v>IMPLEMENTATION_MISMATCH</x:v>
      </x:c>
      <x:c r="S39" s="23" t="str">
        <x:v>S4</x:v>
      </x:c>
      <x:c r="T39" s="23" t="str">
        <x:v>WA</x:v>
      </x:c>
      <x:c r="U39" s="23" t="n">
        <x:v>0</x:v>
      </x:c>
      <x:c r="V39" s="23" t="n">
        <x:v>20</x:v>
      </x:c>
      <x:c r="W39" s="64" t="n">
        <x:v>0</x:v>
      </x:c>
      <x:c r="X39" s="23" t="n">
        <x:v>0</x:v>
      </x:c>
      <x:c r="Y39" s="23" t="n">
        <x:v>0</x:v>
      </x:c>
      <x:c r="Z39" s="23" t="n">
        <x:v>4</x:v>
      </x:c>
      <x:c r="AA39" s="23" t="n">
        <x:v>4</x:v>
      </x:c>
      <x:c r="AB39" s="23" t="n">
        <x:v>0</x:v>
      </x:c>
      <x:c r="AC39" s="23" t="n">
        <x:v>28</x:v>
      </x:c>
      <x:c r="AD39" s="67" t="n">
        <x:v>574707</x:v>
      </x:c>
      <x:c r="AE39" s="23" t="str">
        <x:v>runs/run_FtEaK8qwSchJzpfN</x:v>
      </x:c>
    </x:row>
    <x:row r="40">
      <x:c r="A40" s="23" t="str">
        <x:v>run_ZUWaK3nQpE57O40P</x:v>
      </x:c>
      <x:c r="B40" s="23" t="str">
        <x:v>csps2019_senior_partition</x:v>
      </x:c>
      <x:c r="C40" s="23" t="str">
        <x:v>划分</x:v>
      </x:c>
      <x:c r="D40" s="23" t="str">
        <x:v>csps2019_senior</x:v>
      </x:c>
      <x:c r="E40" s="23" t="str">
        <x:v>省选/NOI−</x:v>
      </x:c>
      <x:c r="F40" s="23" t="str">
        <x:v>run_result</x:v>
      </x:c>
      <x:c r="G40" s="23" t="str">
        <x:v>collection-20260910T103603Z</x:v>
      </x:c>
      <x:c r="H40" s="61" t="n">
        <x:v>46275.44170506945</x:v>
      </x:c>
      <x:c r="I40" s="23" t="str">
        <x:v>STALLED</x:v>
      </x:c>
      <x:c r="J40" s="23" t="str">
        <x:v>TLE</x:v>
      </x:c>
      <x:c r="K40" s="23" t="n">
        <x:v>2</x:v>
      </x:c>
      <x:c r="L40" s="23" t="n">
        <x:v>25</x:v>
      </x:c>
      <x:c r="M40" s="64" t="n">
        <x:v>8</x:v>
      </x:c>
      <x:c r="N40" s="23" t="n">
        <x:v>0</x:v>
      </x:c>
      <x:c r="O40" s="23" t="n">
        <x:v>0</x:v>
      </x:c>
      <x:c r="P40" s="23" t="n">
        <x:v>0</x:v>
      </x:c>
      <x:c r="Q40" s="23" t="n">
        <x:v>0</x:v>
      </x:c>
      <x:c r="R40" s="23" t="str">
        <x:v>COMPLEXITY_TLE</x:v>
      </x:c>
      <x:c r="S40" s="23"/>
      <x:c r="T40" s="23" t="str">
        <x:v>TLE</x:v>
      </x:c>
      <x:c r="U40" s="23" t="n">
        <x:v>2</x:v>
      </x:c>
      <x:c r="V40" s="23" t="n">
        <x:v>25</x:v>
      </x:c>
      <x:c r="W40" s="64" t="n">
        <x:v>8</x:v>
      </x:c>
      <x:c r="X40" s="23" t="n">
        <x:v>0</x:v>
      </x:c>
      <x:c r="Y40" s="23" t="n">
        <x:v>0</x:v>
      </x:c>
      <x:c r="Z40" s="23" t="n">
        <x:v>4</x:v>
      </x:c>
      <x:c r="AA40" s="23" t="n">
        <x:v>4</x:v>
      </x:c>
      <x:c r="AB40" s="23" t="n">
        <x:v>0</x:v>
      </x:c>
      <x:c r="AC40" s="23" t="n">
        <x:v>8</x:v>
      </x:c>
      <x:c r="AD40" s="67" t="n">
        <x:v>292682</x:v>
      </x:c>
      <x:c r="AE40" s="23" t="str">
        <x:v>runs/run_ZUWaK3nQpE57O40P</x:v>
      </x:c>
    </x:row>
    <x:row r="41">
      <x:c r="A41" s="23" t="str">
        <x:v>run_gZnBYgrGdN0bhbYL</x:v>
      </x:c>
      <x:c r="B41" s="23" t="str">
        <x:v>csps2020_senior_snakes</x:v>
      </x:c>
      <x:c r="C41" s="23" t="str">
        <x:v>贪吃蛇</x:v>
      </x:c>
      <x:c r="D41" s="23" t="str">
        <x:v>csps2020_senior</x:v>
      </x:c>
      <x:c r="E41" s="23" t="str">
        <x:v>省选/NOI−</x:v>
      </x:c>
      <x:c r="F41" s="23" t="str">
        <x:v>run_result</x:v>
      </x:c>
      <x:c r="G41" s="23" t="str">
        <x:v>collection-20260910T103603Z</x:v>
      </x:c>
      <x:c r="H41" s="61" t="n">
        <x:v>46275.46921476852</x:v>
      </x:c>
      <x:c r="I41" s="23" t="str">
        <x:v>MAX_ROUNDS</x:v>
      </x:c>
      <x:c r="J41" s="23" t="str">
        <x:v>AC</x:v>
      </x:c>
      <x:c r="K41" s="23" t="n">
        <x:v>20</x:v>
      </x:c>
      <x:c r="L41" s="23" t="n">
        <x:v>20</x:v>
      </x:c>
      <x:c r="M41" s="64" t="n">
        <x:v>100</x:v>
      </x:c>
      <x:c r="N41" s="23" t="n">
        <x:v>1</x:v>
      </x:c>
      <x:c r="O41" s="23" t="n">
        <x:v>0</x:v>
      </x:c>
      <x:c r="P41" s="23" t="n">
        <x:v>0</x:v>
      </x:c>
      <x:c r="Q41" s="23" t="n">
        <x:v>1</x:v>
      </x:c>
      <x:c r="R41" s="23" t="str">
        <x:v>RESULT_CORRECT_PROCESS_INVALID</x:v>
      </x:c>
      <x:c r="S41" s="23"/>
      <x:c r="T41" s="23" t="str">
        <x:v>TLE</x:v>
      </x:c>
      <x:c r="U41" s="23" t="n">
        <x:v>8</x:v>
      </x:c>
      <x:c r="V41" s="23" t="n">
        <x:v>20</x:v>
      </x:c>
      <x:c r="W41" s="64" t="n">
        <x:v>40</x:v>
      </x:c>
      <x:c r="X41" s="23" t="n">
        <x:v>0</x:v>
      </x:c>
      <x:c r="Y41" s="23" t="n">
        <x:v>0</x:v>
      </x:c>
      <x:c r="Z41" s="23" t="n">
        <x:v>5</x:v>
      </x:c>
      <x:c r="AA41" s="23" t="n">
        <x:v>5</x:v>
      </x:c>
      <x:c r="AB41" s="23" t="n">
        <x:v>0</x:v>
      </x:c>
      <x:c r="AC41" s="23" t="n">
        <x:v>10</x:v>
      </x:c>
      <x:c r="AD41" s="67" t="n">
        <x:v>274652</x:v>
      </x:c>
      <x:c r="AE41" s="23" t="str">
        <x:v>runs/run_gZnBYgrGdN0bhbYL</x:v>
      </x:c>
    </x:row>
    <x:row r="42">
      <x:c r="A42" s="23" t="str">
        <x:v>run_JHKyEG3XgusSfgZn</x:v>
      </x:c>
      <x:c r="B42" s="23" t="str">
        <x:v>csps2024_senior_arena</x:v>
      </x:c>
      <x:c r="C42" s="23" t="str">
        <x:v>擂台游戏</x:v>
      </x:c>
      <x:c r="D42" s="23" t="str">
        <x:v>csps2024_senior</x:v>
      </x:c>
      <x:c r="E42" s="23" t="str">
        <x:v>NOI/NOI+/CTS</x:v>
      </x:c>
      <x:c r="F42" s="23" t="str">
        <x:v>run_result</x:v>
      </x:c>
      <x:c r="G42" s="23" t="str">
        <x:v>collection-20260910T103603Z</x:v>
      </x:c>
      <x:c r="H42" s="61" t="n">
        <x:v>46275.49825182871</x:v>
      </x:c>
      <x:c r="I42" s="23" t="str">
        <x:v>STALLED</x:v>
      </x:c>
      <x:c r="J42" s="23" t="str">
        <x:v>TLE</x:v>
      </x:c>
      <x:c r="K42" s="23" t="n">
        <x:v>19</x:v>
      </x:c>
      <x:c r="L42" s="23" t="n">
        <x:v>25</x:v>
      </x:c>
      <x:c r="M42" s="64" t="n">
        <x:v>76</x:v>
      </x:c>
      <x:c r="N42" s="23" t="n">
        <x:v>0</x:v>
      </x:c>
      <x:c r="O42" s="23" t="n">
        <x:v>0</x:v>
      </x:c>
      <x:c r="P42" s="23" t="n">
        <x:v>0</x:v>
      </x:c>
      <x:c r="Q42" s="23" t="n">
        <x:v>0</x:v>
      </x:c>
      <x:c r="R42" s="23" t="str">
        <x:v>WRONG_ALGORITHM</x:v>
      </x:c>
      <x:c r="S42" s="23" t="str">
        <x:v>S4.wild</x:v>
      </x:c>
      <x:c r="T42" s="23" t="str">
        <x:v>RE</x:v>
      </x:c>
      <x:c r="U42" s="23" t="n">
        <x:v>3</x:v>
      </x:c>
      <x:c r="V42" s="23" t="n">
        <x:v>25</x:v>
      </x:c>
      <x:c r="W42" s="64" t="n">
        <x:v>12</x:v>
      </x:c>
      <x:c r="X42" s="23" t="n">
        <x:v>0</x:v>
      </x:c>
      <x:c r="Y42" s="23" t="n">
        <x:v>0</x:v>
      </x:c>
      <x:c r="Z42" s="23" t="n">
        <x:v>3</x:v>
      </x:c>
      <x:c r="AA42" s="23" t="n">
        <x:v>3</x:v>
      </x:c>
      <x:c r="AB42" s="23" t="n">
        <x:v>0</x:v>
      </x:c>
      <x:c r="AC42" s="23" t="n">
        <x:v>26</x:v>
      </x:c>
      <x:c r="AD42" s="67" t="n">
        <x:v>592562</x:v>
      </x:c>
      <x:c r="AE42" s="23" t="str">
        <x:v>runs/run_JHKyEG3XgusSfgZn</x:v>
      </x:c>
    </x:row>
    <x:row r="43">
      <x:c r="A43" s="23" t="str">
        <x:v>run_Zz2mU8cRtRzOpZIt</x:v>
      </x:c>
      <x:c r="B43" s="23" t="str">
        <x:v>noip2020_senior_walk</x:v>
      </x:c>
      <x:c r="C43" s="23" t="str">
        <x:v>微信步数</x:v>
      </x:c>
      <x:c r="D43" s="23" t="str">
        <x:v>noip2020_senior</x:v>
      </x:c>
      <x:c r="E43" s="23" t="str">
        <x:v>省选/NOI−</x:v>
      </x:c>
      <x:c r="F43" s="23" t="str">
        <x:v>run_result</x:v>
      </x:c>
      <x:c r="G43" s="23" t="str">
        <x:v>collection-20260910T103603Z</x:v>
      </x:c>
      <x:c r="H43" s="61" t="n">
        <x:v>46275.53949284722</x:v>
      </x:c>
      <x:c r="I43" s="23" t="str">
        <x:v>STALLED</x:v>
      </x:c>
      <x:c r="J43" s="23" t="str">
        <x:v>AC</x:v>
      </x:c>
      <x:c r="K43" s="23" t="n">
        <x:v>20</x:v>
      </x:c>
      <x:c r="L43" s="23" t="n">
        <x:v>20</x:v>
      </x:c>
      <x:c r="M43" s="64" t="n">
        <x:v>100</x:v>
      </x:c>
      <x:c r="N43" s="23" t="n">
        <x:v>1</x:v>
      </x:c>
      <x:c r="O43" s="23" t="n">
        <x:v>0</x:v>
      </x:c>
      <x:c r="P43" s="23" t="n">
        <x:v>0</x:v>
      </x:c>
      <x:c r="Q43" s="23" t="n">
        <x:v>1</x:v>
      </x:c>
      <x:c r="R43" s="23" t="str">
        <x:v>RESULT_CORRECT_PROCESS_INVALID</x:v>
      </x:c>
      <x:c r="S43" s="23"/>
      <x:c r="T43" s="23" t="str">
        <x:v>WA</x:v>
      </x:c>
      <x:c r="U43" s="23" t="n">
        <x:v>11</x:v>
      </x:c>
      <x:c r="V43" s="23" t="n">
        <x:v>20</x:v>
      </x:c>
      <x:c r="W43" s="64" t="n">
        <x:v>55</x:v>
      </x:c>
      <x:c r="X43" s="23" t="n">
        <x:v>0</x:v>
      </x:c>
      <x:c r="Y43" s="23" t="n">
        <x:v>0</x:v>
      </x:c>
      <x:c r="Z43" s="23" t="n">
        <x:v>3</x:v>
      </x:c>
      <x:c r="AA43" s="23" t="n">
        <x:v>3</x:v>
      </x:c>
      <x:c r="AB43" s="23" t="n">
        <x:v>0</x:v>
      </x:c>
      <x:c r="AC43" s="23" t="n">
        <x:v>8</x:v>
      </x:c>
      <x:c r="AD43" s="67" t="n">
        <x:v>178315</x:v>
      </x:c>
      <x:c r="AE43" s="23" t="str">
        <x:v>runs/run_Zz2mU8cRtRzOpZIt</x:v>
      </x:c>
    </x:row>
    <x:row r="44">
      <x:c r="A44" s="23" t="str">
        <x:v>run_qX6ogDciQmJJIav</x:v>
      </x:c>
      <x:c r="B44" s="23" t="str">
        <x:v>noip2022_senior_match</x:v>
      </x:c>
      <x:c r="C44" s="23" t="str">
        <x:v>比赛</x:v>
      </x:c>
      <x:c r="D44" s="23" t="str">
        <x:v>noip2022_senior</x:v>
      </x:c>
      <x:c r="E44" s="23" t="str">
        <x:v>省选/NOI−</x:v>
      </x:c>
      <x:c r="F44" s="23" t="str">
        <x:v>run_result</x:v>
      </x:c>
      <x:c r="G44" s="23"/>
      <x:c r="H44" s="61" t="n">
        <x:v>46275.60544931713</x:v>
      </x:c>
      <x:c r="I44" s="23" t="str">
        <x:v>STALLED</x:v>
      </x:c>
      <x:c r="J44" s="23" t="str">
        <x:v>TLE</x:v>
      </x:c>
      <x:c r="K44" s="23" t="n">
        <x:v>2</x:v>
      </x:c>
      <x:c r="L44" s="23" t="n">
        <x:v>25</x:v>
      </x:c>
      <x:c r="M44" s="64" t="n">
        <x:v>8</x:v>
      </x:c>
      <x:c r="N44" s="23" t="n">
        <x:v>0</x:v>
      </x:c>
      <x:c r="O44" s="23" t="n">
        <x:v>0</x:v>
      </x:c>
      <x:c r="P44" s="23" t="n">
        <x:v>0</x:v>
      </x:c>
      <x:c r="Q44" s="23" t="n">
        <x:v>0</x:v>
      </x:c>
      <x:c r="R44" s="23" t="str">
        <x:v>COMPLEXITY_TLE</x:v>
      </x:c>
      <x:c r="S44" s="23"/>
      <x:c r="T44" s="23"/>
      <x:c r="U44" s="23"/>
      <x:c r="V44" s="23"/>
      <x:c r="W44" s="64"/>
      <x:c r="X44" s="23" t="n">
        <x:v>0</x:v>
      </x:c>
      <x:c r="Y44" s="23" t="n">
        <x:v>0</x:v>
      </x:c>
      <x:c r="Z44" s="23" t="n">
        <x:v>3</x:v>
      </x:c>
      <x:c r="AA44" s="23" t="n">
        <x:v>3</x:v>
      </x:c>
      <x:c r="AB44" s="23" t="n">
        <x:v>0</x:v>
      </x:c>
      <x:c r="AC44" s="23" t="n">
        <x:v>6</x:v>
      </x:c>
      <x:c r="AD44" s="67" t="n">
        <x:v>192884</x:v>
      </x:c>
      <x:c r="AE44" s="23" t="str">
        <x:v>runs/run_qX6ogDciQmJJIav</x:v>
      </x:c>
    </x:row>
    <x:row r="45">
      <x:c r="A45" s="23" t="str">
        <x:v>run_F27Sx1IAz3npVTSt</x:v>
      </x:c>
      <x:c r="B45" s="23" t="str">
        <x:v>noip2021_senior_variance</x:v>
      </x:c>
      <x:c r="C45" s="23" t="str">
        <x:v>方差</x:v>
      </x:c>
      <x:c r="D45" s="23" t="str">
        <x:v>noip2021_senior</x:v>
      </x:c>
      <x:c r="E45" s="23" t="str">
        <x:v>省选/NOI−</x:v>
      </x:c>
      <x:c r="F45" s="23" t="str">
        <x:v>run_result</x:v>
      </x:c>
      <x:c r="G45" s="23" t="str">
        <x:v>collection-20260910T103603Z</x:v>
      </x:c>
      <x:c r="H45" s="61" t="n">
        <x:v>46275.626802453706</x:v>
      </x:c>
      <x:c r="I45" s="23" t="str">
        <x:v>STALLED</x:v>
      </x:c>
      <x:c r="J45" s="23" t="str">
        <x:v>AC</x:v>
      </x:c>
      <x:c r="K45" s="23" t="n">
        <x:v>25</x:v>
      </x:c>
      <x:c r="L45" s="23" t="n">
        <x:v>25</x:v>
      </x:c>
      <x:c r="M45" s="64" t="n">
        <x:v>100</x:v>
      </x:c>
      <x:c r="N45" s="23" t="n">
        <x:v>1</x:v>
      </x:c>
      <x:c r="O45" s="23" t="n">
        <x:v>0</x:v>
      </x:c>
      <x:c r="P45" s="23" t="n">
        <x:v>0</x:v>
      </x:c>
      <x:c r="Q45" s="23" t="n">
        <x:v>1</x:v>
      </x:c>
      <x:c r="R45" s="23" t="str">
        <x:v>RESULT_CORRECT_PROCESS_INVALID</x:v>
      </x:c>
      <x:c r="S45" s="23"/>
      <x:c r="T45" s="23" t="str">
        <x:v>WA</x:v>
      </x:c>
      <x:c r="U45" s="23" t="n">
        <x:v>6</x:v>
      </x:c>
      <x:c r="V45" s="23" t="n">
        <x:v>25</x:v>
      </x:c>
      <x:c r="W45" s="64" t="n">
        <x:v>24</x:v>
      </x:c>
      <x:c r="X45" s="23" t="n">
        <x:v>0</x:v>
      </x:c>
      <x:c r="Y45" s="23" t="n">
        <x:v>0</x:v>
      </x:c>
      <x:c r="Z45" s="23" t="n">
        <x:v>3</x:v>
      </x:c>
      <x:c r="AA45" s="23" t="n">
        <x:v>3</x:v>
      </x:c>
      <x:c r="AB45" s="23" t="n">
        <x:v>0</x:v>
      </x:c>
      <x:c r="AC45" s="23" t="n">
        <x:v>5</x:v>
      </x:c>
      <x:c r="AD45" s="67" t="n">
        <x:v>181333</x:v>
      </x:c>
      <x:c r="AE45" s="23" t="str">
        <x:v>runs/run_F27Sx1IAz3npVTSt</x:v>
      </x:c>
    </x:row>
    <x:row r="46">
      <x:c r="A46" s="23" t="str">
        <x:v>run_ueCo7xYz7YkCGfD</x:v>
      </x:c>
      <x:c r="B46" s="23" t="str">
        <x:v>csps2019_senior_code</x:v>
      </x:c>
      <x:c r="C46" s="23" t="str">
        <x:v>格雷码</x:v>
      </x:c>
      <x:c r="D46" s="23" t="str">
        <x:v>csps2019_senior</x:v>
      </x:c>
      <x:c r="E46" s="23" t="str">
        <x:v>普及−</x:v>
      </x:c>
      <x:c r="F46" s="23" t="str">
        <x:v>run_result</x:v>
      </x:c>
      <x:c r="G46" s="23" t="str">
        <x:v>collection-20260910T103603Z</x:v>
      </x:c>
      <x:c r="H46" s="61" t="n">
        <x:v>46275.655168391204</x:v>
      </x:c>
      <x:c r="I46" s="23" t="str">
        <x:v>COMPLETED</x:v>
      </x:c>
      <x:c r="J46" s="23" t="str">
        <x:v>AC</x:v>
      </x:c>
      <x:c r="K46" s="23" t="n">
        <x:v>20</x:v>
      </x:c>
      <x:c r="L46" s="23" t="n">
        <x:v>20</x:v>
      </x:c>
      <x:c r="M46" s="64" t="n">
        <x:v>100</x:v>
      </x:c>
      <x:c r="N46" s="23" t="n">
        <x:v>1</x:v>
      </x:c>
      <x:c r="O46" s="23" t="n">
        <x:v>1</x:v>
      </x:c>
      <x:c r="P46" s="23" t="n">
        <x:v>1</x:v>
      </x:c>
      <x:c r="Q46" s="23" t="n">
        <x:v>0</x:v>
      </x:c>
      <x:c r="R46" s="23" t="str">
        <x:v>UNRESOLVED</x:v>
      </x:c>
      <x:c r="S46" s="23"/>
      <x:c r="T46" s="23" t="str">
        <x:v>AC</x:v>
      </x:c>
      <x:c r="U46" s="23" t="n">
        <x:v>20</x:v>
      </x:c>
      <x:c r="V46" s="23" t="n">
        <x:v>20</x:v>
      </x:c>
      <x:c r="W46" s="64" t="n">
        <x:v>100</x:v>
      </x:c>
      <x:c r="X46" s="23" t="n">
        <x:v>1</x:v>
      </x:c>
      <x:c r="Y46" s="23" t="n">
        <x:v>1</x:v>
      </x:c>
      <x:c r="Z46" s="23" t="n">
        <x:v>0</x:v>
      </x:c>
      <x:c r="AA46" s="23" t="n">
        <x:v>0</x:v>
      </x:c>
      <x:c r="AB46" s="23" t="n">
        <x:v>0</x:v>
      </x:c>
      <x:c r="AC46" s="23" t="n">
        <x:v>4</x:v>
      </x:c>
      <x:c r="AD46" s="67" t="n">
        <x:v>35689</x:v>
      </x:c>
      <x:c r="AE46" s="23" t="str">
        <x:v>runs/run_ueCo7xYz7YkCGfD</x:v>
      </x:c>
    </x:row>
    <x:row r="47">
      <x:c r="A47" s="23" t="str">
        <x:v>run_pFN7Dj8CEk463D</x:v>
      </x:c>
      <x:c r="B47" s="23" t="str">
        <x:v>csps2020_senior_call</x:v>
      </x:c>
      <x:c r="C47" s="23" t="str">
        <x:v>函数调用</x:v>
      </x:c>
      <x:c r="D47" s="23" t="str">
        <x:v>csps2020_senior</x:v>
      </x:c>
      <x:c r="E47" s="23" t="str">
        <x:v>提高+/省选−</x:v>
      </x:c>
      <x:c r="F47" s="23" t="str">
        <x:v>run_result</x:v>
      </x:c>
      <x:c r="G47" s="23" t="str">
        <x:v>collection-20260910T103603Z</x:v>
      </x:c>
      <x:c r="H47" s="61" t="n">
        <x:v>46275.65716265047</x:v>
      </x:c>
      <x:c r="I47" s="23" t="str">
        <x:v>COMPLETED</x:v>
      </x:c>
      <x:c r="J47" s="23" t="str">
        <x:v>AC</x:v>
      </x:c>
      <x:c r="K47" s="23" t="n">
        <x:v>20</x:v>
      </x:c>
      <x:c r="L47" s="23" t="n">
        <x:v>20</x:v>
      </x:c>
      <x:c r="M47" s="64" t="n">
        <x:v>100</x:v>
      </x:c>
      <x:c r="N47" s="23" t="n">
        <x:v>1</x:v>
      </x:c>
      <x:c r="O47" s="23" t="n">
        <x:v>1</x:v>
      </x:c>
      <x:c r="P47" s="23" t="n">
        <x:v>1</x:v>
      </x:c>
      <x:c r="Q47" s="23" t="n">
        <x:v>0</x:v>
      </x:c>
      <x:c r="R47" s="23" t="str">
        <x:v>UNRESOLVED</x:v>
      </x:c>
      <x:c r="S47" s="23"/>
      <x:c r="T47" s="23" t="str">
        <x:v>AC</x:v>
      </x:c>
      <x:c r="U47" s="23" t="n">
        <x:v>20</x:v>
      </x:c>
      <x:c r="V47" s="23" t="n">
        <x:v>20</x:v>
      </x:c>
      <x:c r="W47" s="64" t="n">
        <x:v>100</x:v>
      </x:c>
      <x:c r="X47" s="23" t="n">
        <x:v>1</x:v>
      </x:c>
      <x:c r="Y47" s="23" t="n">
        <x:v>1</x:v>
      </x:c>
      <x:c r="Z47" s="23" t="n">
        <x:v>0</x:v>
      </x:c>
      <x:c r="AA47" s="23" t="n">
        <x:v>0</x:v>
      </x:c>
      <x:c r="AB47" s="23" t="n">
        <x:v>0</x:v>
      </x:c>
      <x:c r="AC47" s="23" t="n">
        <x:v>4</x:v>
      </x:c>
      <x:c r="AD47" s="67" t="n">
        <x:v>78202</x:v>
      </x:c>
      <x:c r="AE47" s="23" t="str">
        <x:v>runs/run_pFN7Dj8CEk463D</x:v>
      </x:c>
    </x:row>
    <x:row r="48">
      <x:c r="A48" s="23" t="str">
        <x:v>run_Xja7G1LcEDKlLo</x:v>
      </x:c>
      <x:c r="B48" s="23" t="str">
        <x:v>csps2020_senior_julian</x:v>
      </x:c>
      <x:c r="C48" s="23" t="str">
        <x:v>儒略日</x:v>
      </x:c>
      <x:c r="D48" s="23" t="str">
        <x:v>csps2020_senior</x:v>
      </x:c>
      <x:c r="E48" s="23" t="str">
        <x:v>普及+/提高−</x:v>
      </x:c>
      <x:c r="F48" s="23" t="str">
        <x:v>run_result</x:v>
      </x:c>
      <x:c r="G48" s="23" t="str">
        <x:v>collection-20260910T103603Z</x:v>
      </x:c>
      <x:c r="H48" s="61" t="n">
        <x:v>46275.662980891204</x:v>
      </x:c>
      <x:c r="I48" s="23" t="str">
        <x:v>COMPLETED</x:v>
      </x:c>
      <x:c r="J48" s="23" t="str">
        <x:v>AC</x:v>
      </x:c>
      <x:c r="K48" s="23" t="n">
        <x:v>10</x:v>
      </x:c>
      <x:c r="L48" s="23" t="n">
        <x:v>10</x:v>
      </x:c>
      <x:c r="M48" s="64" t="n">
        <x:v>100</x:v>
      </x:c>
      <x:c r="N48" s="23" t="n">
        <x:v>1</x:v>
      </x:c>
      <x:c r="O48" s="23" t="n">
        <x:v>1</x:v>
      </x:c>
      <x:c r="P48" s="23" t="n">
        <x:v>1</x:v>
      </x:c>
      <x:c r="Q48" s="23" t="n">
        <x:v>0</x:v>
      </x:c>
      <x:c r="R48" s="23" t="str">
        <x:v>UNRESOLVED</x:v>
      </x:c>
      <x:c r="S48" s="23"/>
      <x:c r="T48" s="23" t="str">
        <x:v>AC</x:v>
      </x:c>
      <x:c r="U48" s="23" t="n">
        <x:v>10</x:v>
      </x:c>
      <x:c r="V48" s="23" t="n">
        <x:v>10</x:v>
      </x:c>
      <x:c r="W48" s="64" t="n">
        <x:v>100</x:v>
      </x:c>
      <x:c r="X48" s="23" t="n">
        <x:v>1</x:v>
      </x:c>
      <x:c r="Y48" s="23" t="n">
        <x:v>1</x:v>
      </x:c>
      <x:c r="Z48" s="23" t="n">
        <x:v>0</x:v>
      </x:c>
      <x:c r="AA48" s="23" t="n">
        <x:v>0</x:v>
      </x:c>
      <x:c r="AB48" s="23" t="n">
        <x:v>0</x:v>
      </x:c>
      <x:c r="AC48" s="23" t="n">
        <x:v>5</x:v>
      </x:c>
      <x:c r="AD48" s="67" t="n">
        <x:v>78946</x:v>
      </x:c>
      <x:c r="AE48" s="23" t="str">
        <x:v>runs/run_Xja7G1LcEDKlLo</x:v>
      </x:c>
    </x:row>
    <x:row r="49">
      <x:c r="A49" s="23" t="str">
        <x:v>run_0iYRSc1et0SGm6P9</x:v>
      </x:c>
      <x:c r="B49" s="23" t="str">
        <x:v>noip2014_junior_count</x:v>
      </x:c>
      <x:c r="C49" s="23" t="str">
        <x:v>珠心算测验</x:v>
      </x:c>
      <x:c r="D49" s="23" t="str">
        <x:v>noip2014_junior</x:v>
      </x:c>
      <x:c r="E49" s="23" t="str">
        <x:v>普及−</x:v>
      </x:c>
      <x:c r="F49" s="23" t="str">
        <x:v>run_result</x:v>
      </x:c>
      <x:c r="G49" s="23" t="str">
        <x:v>collection-20260910T103603Z</x:v>
      </x:c>
      <x:c r="H49" s="61" t="n">
        <x:v>46275.67512083333</x:v>
      </x:c>
      <x:c r="I49" s="23" t="str">
        <x:v>COMPLETED</x:v>
      </x:c>
      <x:c r="J49" s="23" t="str">
        <x:v>AC</x:v>
      </x:c>
      <x:c r="K49" s="23" t="n">
        <x:v>10</x:v>
      </x:c>
      <x:c r="L49" s="23" t="n">
        <x:v>10</x:v>
      </x:c>
      <x:c r="M49" s="64" t="n">
        <x:v>100</x:v>
      </x:c>
      <x:c r="N49" s="23" t="n">
        <x:v>1</x:v>
      </x:c>
      <x:c r="O49" s="23" t="n">
        <x:v>1</x:v>
      </x:c>
      <x:c r="P49" s="23" t="n">
        <x:v>1</x:v>
      </x:c>
      <x:c r="Q49" s="23" t="n">
        <x:v>0</x:v>
      </x:c>
      <x:c r="R49" s="23" t="str">
        <x:v>UNRESOLVED</x:v>
      </x:c>
      <x:c r="S49" s="23"/>
      <x:c r="T49" s="23" t="str">
        <x:v>AC</x:v>
      </x:c>
      <x:c r="U49" s="23" t="n">
        <x:v>10</x:v>
      </x:c>
      <x:c r="V49" s="23" t="n">
        <x:v>10</x:v>
      </x:c>
      <x:c r="W49" s="64" t="n">
        <x:v>100</x:v>
      </x:c>
      <x:c r="X49" s="23" t="n">
        <x:v>1</x:v>
      </x:c>
      <x:c r="Y49" s="23" t="n">
        <x:v>1</x:v>
      </x:c>
      <x:c r="Z49" s="23" t="n">
        <x:v>0</x:v>
      </x:c>
      <x:c r="AA49" s="23" t="n">
        <x:v>0</x:v>
      </x:c>
      <x:c r="AB49" s="23" t="n">
        <x:v>0</x:v>
      </x:c>
      <x:c r="AC49" s="23" t="n">
        <x:v>6</x:v>
      </x:c>
      <x:c r="AD49" s="67" t="n">
        <x:v>26785</x:v>
      </x:c>
      <x:c r="AE49" s="23" t="str">
        <x:v>runs/run_0iYRSc1et0SGm6P9</x:v>
      </x:c>
    </x:row>
    <x:row r="50">
      <x:c r="A50" s="23" t="str">
        <x:v>run_0K78TZRaJK4QJ3e</x:v>
      </x:c>
      <x:c r="B50" s="23" t="str">
        <x:v>noip2014_junior_matrix</x:v>
      </x:c>
      <x:c r="C50" s="23" t="str">
        <x:v>螺旋矩阵</x:v>
      </x:c>
      <x:c r="D50" s="23" t="str">
        <x:v>noip2014_junior</x:v>
      </x:c>
      <x:c r="E50" s="23" t="str">
        <x:v>普及</x:v>
      </x:c>
      <x:c r="F50" s="23" t="str">
        <x:v>run_result</x:v>
      </x:c>
      <x:c r="G50" s="23" t="str">
        <x:v>collection-20260910T103603Z</x:v>
      </x:c>
      <x:c r="H50" s="61" t="n">
        <x:v>46275.67514983796</x:v>
      </x:c>
      <x:c r="I50" s="23" t="str">
        <x:v>COMPLETED</x:v>
      </x:c>
      <x:c r="J50" s="23" t="str">
        <x:v>AC</x:v>
      </x:c>
      <x:c r="K50" s="23" t="n">
        <x:v>10</x:v>
      </x:c>
      <x:c r="L50" s="23" t="n">
        <x:v>10</x:v>
      </x:c>
      <x:c r="M50" s="64" t="n">
        <x:v>100</x:v>
      </x:c>
      <x:c r="N50" s="23" t="n">
        <x:v>1</x:v>
      </x:c>
      <x:c r="O50" s="23" t="n">
        <x:v>1</x:v>
      </x:c>
      <x:c r="P50" s="23" t="n">
        <x:v>1</x:v>
      </x:c>
      <x:c r="Q50" s="23" t="n">
        <x:v>0</x:v>
      </x:c>
      <x:c r="R50" s="23" t="str">
        <x:v>UNRESOLVED</x:v>
      </x:c>
      <x:c r="S50" s="23"/>
      <x:c r="T50" s="23" t="str">
        <x:v>AC</x:v>
      </x:c>
      <x:c r="U50" s="23" t="n">
        <x:v>10</x:v>
      </x:c>
      <x:c r="V50" s="23" t="n">
        <x:v>10</x:v>
      </x:c>
      <x:c r="W50" s="64" t="n">
        <x:v>100</x:v>
      </x:c>
      <x:c r="X50" s="23" t="n">
        <x:v>1</x:v>
      </x:c>
      <x:c r="Y50" s="23" t="n">
        <x:v>1</x:v>
      </x:c>
      <x:c r="Z50" s="23" t="n">
        <x:v>0</x:v>
      </x:c>
      <x:c r="AA50" s="23" t="n">
        <x:v>0</x:v>
      </x:c>
      <x:c r="AB50" s="23" t="n">
        <x:v>0</x:v>
      </x:c>
      <x:c r="AC50" s="23" t="n">
        <x:v>6</x:v>
      </x:c>
      <x:c r="AD50" s="67" t="n">
        <x:v>36354</x:v>
      </x:c>
      <x:c r="AE50" s="23" t="str">
        <x:v>runs/run_0K78TZRaJK4QJ3e</x:v>
      </x:c>
    </x:row>
    <x:row r="51">
      <x:c r="A51" s="23" t="str">
        <x:v>run_zcY34OyBRSM0r7I</x:v>
      </x:c>
      <x:c r="B51" s="23" t="str">
        <x:v>noip2014_junior_ratio</x:v>
      </x:c>
      <x:c r="C51" s="23" t="str">
        <x:v>比例简化</x:v>
      </x:c>
      <x:c r="D51" s="23" t="str">
        <x:v>noip2014_junior</x:v>
      </x:c>
      <x:c r="E51" s="23" t="str">
        <x:v>普及−</x:v>
      </x:c>
      <x:c r="F51" s="23" t="str">
        <x:v>run_result</x:v>
      </x:c>
      <x:c r="G51" s="23" t="str">
        <x:v>collection-20260910T103603Z</x:v>
      </x:c>
      <x:c r="H51" s="61" t="n">
        <x:v>46275.676740787036</x:v>
      </x:c>
      <x:c r="I51" s="23" t="str">
        <x:v>COMPLETED</x:v>
      </x:c>
      <x:c r="J51" s="23" t="str">
        <x:v>AC</x:v>
      </x:c>
      <x:c r="K51" s="23" t="n">
        <x:v>10</x:v>
      </x:c>
      <x:c r="L51" s="23" t="n">
        <x:v>10</x:v>
      </x:c>
      <x:c r="M51" s="64" t="n">
        <x:v>100</x:v>
      </x:c>
      <x:c r="N51" s="23" t="n">
        <x:v>1</x:v>
      </x:c>
      <x:c r="O51" s="23" t="n">
        <x:v>1</x:v>
      </x:c>
      <x:c r="P51" s="23" t="n">
        <x:v>1</x:v>
      </x:c>
      <x:c r="Q51" s="23" t="n">
        <x:v>0</x:v>
      </x:c>
      <x:c r="R51" s="23" t="str">
        <x:v>UNRESOLVED</x:v>
      </x:c>
      <x:c r="S51" s="23"/>
      <x:c r="T51" s="23" t="str">
        <x:v>AC</x:v>
      </x:c>
      <x:c r="U51" s="23" t="n">
        <x:v>10</x:v>
      </x:c>
      <x:c r="V51" s="23" t="n">
        <x:v>10</x:v>
      </x:c>
      <x:c r="W51" s="64" t="n">
        <x:v>100</x:v>
      </x:c>
      <x:c r="X51" s="23" t="n">
        <x:v>1</x:v>
      </x:c>
      <x:c r="Y51" s="23" t="n">
        <x:v>1</x:v>
      </x:c>
      <x:c r="Z51" s="23" t="n">
        <x:v>0</x:v>
      </x:c>
      <x:c r="AA51" s="23" t="n">
        <x:v>0</x:v>
      </x:c>
      <x:c r="AB51" s="23" t="n">
        <x:v>0</x:v>
      </x:c>
      <x:c r="AC51" s="23" t="n">
        <x:v>4</x:v>
      </x:c>
      <x:c r="AD51" s="67" t="n">
        <x:v>29026</x:v>
      </x:c>
      <x:c r="AE51" s="23" t="str">
        <x:v>runs/run_zcY34OyBRSM0r7I</x:v>
      </x:c>
    </x:row>
    <x:row r="52">
      <x:c r="A52" s="23" t="str">
        <x:v>run_mDNK1c74NSA1fQql</x:v>
      </x:c>
      <x:c r="B52" s="23" t="str">
        <x:v>noip2014_junior_submatrix</x:v>
      </x:c>
      <x:c r="C52" s="23" t="str">
        <x:v>子矩阵</x:v>
      </x:c>
      <x:c r="D52" s="23" t="str">
        <x:v>noip2014_junior</x:v>
      </x:c>
      <x:c r="E52" s="23" t="str">
        <x:v>提高</x:v>
      </x:c>
      <x:c r="F52" s="23" t="str">
        <x:v>run_result</x:v>
      </x:c>
      <x:c r="G52" s="23" t="str">
        <x:v>collection-20260910T103603Z</x:v>
      </x:c>
      <x:c r="H52" s="61" t="n">
        <x:v>46275.67729730324</x:v>
      </x:c>
      <x:c r="I52" s="23" t="str">
        <x:v>COMPLETED</x:v>
      </x:c>
      <x:c r="J52" s="23" t="str">
        <x:v>AC</x:v>
      </x:c>
      <x:c r="K52" s="23" t="n">
        <x:v>20</x:v>
      </x:c>
      <x:c r="L52" s="23" t="n">
        <x:v>20</x:v>
      </x:c>
      <x:c r="M52" s="64" t="n">
        <x:v>100</x:v>
      </x:c>
      <x:c r="N52" s="23" t="n">
        <x:v>1</x:v>
      </x:c>
      <x:c r="O52" s="23" t="n">
        <x:v>1</x:v>
      </x:c>
      <x:c r="P52" s="23" t="n">
        <x:v>1</x:v>
      </x:c>
      <x:c r="Q52" s="23" t="n">
        <x:v>0</x:v>
      </x:c>
      <x:c r="R52" s="23" t="str">
        <x:v>UNRESOLVED</x:v>
      </x:c>
      <x:c r="S52" s="23"/>
      <x:c r="T52" s="23" t="str">
        <x:v>AC</x:v>
      </x:c>
      <x:c r="U52" s="23" t="n">
        <x:v>20</x:v>
      </x:c>
      <x:c r="V52" s="23" t="n">
        <x:v>20</x:v>
      </x:c>
      <x:c r="W52" s="64" t="n">
        <x:v>100</x:v>
      </x:c>
      <x:c r="X52" s="23" t="n">
        <x:v>1</x:v>
      </x:c>
      <x:c r="Y52" s="23" t="n">
        <x:v>1</x:v>
      </x:c>
      <x:c r="Z52" s="23" t="n">
        <x:v>0</x:v>
      </x:c>
      <x:c r="AA52" s="23" t="n">
        <x:v>0</x:v>
      </x:c>
      <x:c r="AB52" s="23" t="n">
        <x:v>0</x:v>
      </x:c>
      <x:c r="AC52" s="23" t="n">
        <x:v>4</x:v>
      </x:c>
      <x:c r="AD52" s="67" t="n">
        <x:v>41990</x:v>
      </x:c>
      <x:c r="AE52" s="23" t="str">
        <x:v>runs/run_mDNK1c74NSA1fQql</x:v>
      </x:c>
    </x:row>
    <x:row r="53">
      <x:c r="A53" s="23" t="str">
        <x:v>run_PGJATAPTV12qapFz</x:v>
      </x:c>
      <x:c r="B53" s="23" t="str">
        <x:v>noip2014_senior_bird</x:v>
      </x:c>
      <x:c r="C53" s="23" t="str">
        <x:v>飞扬的小鸟</x:v>
      </x:c>
      <x:c r="D53" s="23" t="str">
        <x:v>noip2014_senior</x:v>
      </x:c>
      <x:c r="E53" s="23" t="str">
        <x:v>普及+/提高−</x:v>
      </x:c>
      <x:c r="F53" s="23" t="str">
        <x:v>run_result</x:v>
      </x:c>
      <x:c r="G53" s="23" t="str">
        <x:v>collection-20260910T103603Z</x:v>
      </x:c>
      <x:c r="H53" s="61" t="n">
        <x:v>46275.67825646991</x:v>
      </x:c>
      <x:c r="I53" s="23" t="str">
        <x:v>COMPLETED</x:v>
      </x:c>
      <x:c r="J53" s="23" t="str">
        <x:v>AC</x:v>
      </x:c>
      <x:c r="K53" s="23" t="n">
        <x:v>20</x:v>
      </x:c>
      <x:c r="L53" s="23" t="n">
        <x:v>20</x:v>
      </x:c>
      <x:c r="M53" s="64" t="n">
        <x:v>100</x:v>
      </x:c>
      <x:c r="N53" s="23" t="n">
        <x:v>1</x:v>
      </x:c>
      <x:c r="O53" s="23" t="n">
        <x:v>1</x:v>
      </x:c>
      <x:c r="P53" s="23" t="n">
        <x:v>1</x:v>
      </x:c>
      <x:c r="Q53" s="23" t="n">
        <x:v>0</x:v>
      </x:c>
      <x:c r="R53" s="23" t="str">
        <x:v>UNRESOLVED</x:v>
      </x:c>
      <x:c r="S53" s="23"/>
      <x:c r="T53" s="23" t="str">
        <x:v>AC</x:v>
      </x:c>
      <x:c r="U53" s="23" t="n">
        <x:v>20</x:v>
      </x:c>
      <x:c r="V53" s="23" t="n">
        <x:v>20</x:v>
      </x:c>
      <x:c r="W53" s="64" t="n">
        <x:v>100</x:v>
      </x:c>
      <x:c r="X53" s="23" t="n">
        <x:v>1</x:v>
      </x:c>
      <x:c r="Y53" s="23" t="n">
        <x:v>1</x:v>
      </x:c>
      <x:c r="Z53" s="23" t="n">
        <x:v>0</x:v>
      </x:c>
      <x:c r="AA53" s="23" t="n">
        <x:v>0</x:v>
      </x:c>
      <x:c r="AB53" s="23" t="n">
        <x:v>0</x:v>
      </x:c>
      <x:c r="AC53" s="23" t="n">
        <x:v>4</x:v>
      </x:c>
      <x:c r="AD53" s="67" t="n">
        <x:v>69000</x:v>
      </x:c>
      <x:c r="AE53" s="23" t="str">
        <x:v>runs/run_PGJATAPTV12qapFz</x:v>
      </x:c>
    </x:row>
    <x:row r="54">
      <x:c r="A54" s="23" t="str">
        <x:v>run_rMfFaEcD2rmwCnZ</x:v>
      </x:c>
      <x:c r="B54" s="23" t="str">
        <x:v>noip2014_senior_equation</x:v>
      </x:c>
      <x:c r="C54" s="23" t="str">
        <x:v>解方程</x:v>
      </x:c>
      <x:c r="D54" s="23" t="str">
        <x:v>noip2014_senior</x:v>
      </x:c>
      <x:c r="E54" s="23" t="str">
        <x:v>普及+/提高−</x:v>
      </x:c>
      <x:c r="F54" s="23" t="str">
        <x:v>run_result</x:v>
      </x:c>
      <x:c r="G54" s="23" t="str">
        <x:v>collection-20260910T103603Z</x:v>
      </x:c>
      <x:c r="H54" s="61" t="n">
        <x:v>46275.67961136574</x:v>
      </x:c>
      <x:c r="I54" s="23" t="str">
        <x:v>COMPLETED</x:v>
      </x:c>
      <x:c r="J54" s="23" t="str">
        <x:v>AC</x:v>
      </x:c>
      <x:c r="K54" s="23" t="n">
        <x:v>10</x:v>
      </x:c>
      <x:c r="L54" s="23" t="n">
        <x:v>10</x:v>
      </x:c>
      <x:c r="M54" s="64" t="n">
        <x:v>100</x:v>
      </x:c>
      <x:c r="N54" s="23" t="n">
        <x:v>1</x:v>
      </x:c>
      <x:c r="O54" s="23" t="n">
        <x:v>1</x:v>
      </x:c>
      <x:c r="P54" s="23" t="n">
        <x:v>1</x:v>
      </x:c>
      <x:c r="Q54" s="23" t="n">
        <x:v>0</x:v>
      </x:c>
      <x:c r="R54" s="23" t="str">
        <x:v>UNRESOLVED</x:v>
      </x:c>
      <x:c r="S54" s="23"/>
      <x:c r="T54" s="23" t="str">
        <x:v>AC</x:v>
      </x:c>
      <x:c r="U54" s="23" t="n">
        <x:v>10</x:v>
      </x:c>
      <x:c r="V54" s="23" t="n">
        <x:v>10</x:v>
      </x:c>
      <x:c r="W54" s="64" t="n">
        <x:v>100</x:v>
      </x:c>
      <x:c r="X54" s="23" t="n">
        <x:v>1</x:v>
      </x:c>
      <x:c r="Y54" s="23" t="n">
        <x:v>1</x:v>
      </x:c>
      <x:c r="Z54" s="23" t="n">
        <x:v>0</x:v>
      </x:c>
      <x:c r="AA54" s="23" t="n">
        <x:v>0</x:v>
      </x:c>
      <x:c r="AB54" s="23" t="n">
        <x:v>0</x:v>
      </x:c>
      <x:c r="AC54" s="23" t="n">
        <x:v>4</x:v>
      </x:c>
      <x:c r="AD54" s="67" t="n">
        <x:v>48182</x:v>
      </x:c>
      <x:c r="AE54" s="23" t="str">
        <x:v>runs/run_rMfFaEcD2rmwCnZ</x:v>
      </x:c>
    </x:row>
    <x:row r="55">
      <x:c r="A55" s="23" t="str">
        <x:v>run_61Vh3ut1VDmrG74</x:v>
      </x:c>
      <x:c r="B55" s="23" t="str">
        <x:v>noip2014_senior_link</x:v>
      </x:c>
      <x:c r="C55" s="23" t="str">
        <x:v>联合权值</x:v>
      </x:c>
      <x:c r="D55" s="23" t="str">
        <x:v>noip2014_senior</x:v>
      </x:c>
      <x:c r="E55" s="23" t="str">
        <x:v>普及</x:v>
      </x:c>
      <x:c r="F55" s="23" t="str">
        <x:v>run_result</x:v>
      </x:c>
      <x:c r="G55" s="23" t="str">
        <x:v>collection-20260910T103603Z</x:v>
      </x:c>
      <x:c r="H55" s="61" t="n">
        <x:v>46275.68263944444</x:v>
      </x:c>
      <x:c r="I55" s="23" t="str">
        <x:v>COMPLETED</x:v>
      </x:c>
      <x:c r="J55" s="23" t="str">
        <x:v>AC</x:v>
      </x:c>
      <x:c r="K55" s="23" t="n">
        <x:v>10</x:v>
      </x:c>
      <x:c r="L55" s="23" t="n">
        <x:v>10</x:v>
      </x:c>
      <x:c r="M55" s="64" t="n">
        <x:v>100</x:v>
      </x:c>
      <x:c r="N55" s="23" t="n">
        <x:v>1</x:v>
      </x:c>
      <x:c r="O55" s="23" t="n">
        <x:v>1</x:v>
      </x:c>
      <x:c r="P55" s="23" t="n">
        <x:v>1</x:v>
      </x:c>
      <x:c r="Q55" s="23" t="n">
        <x:v>0</x:v>
      </x:c>
      <x:c r="R55" s="23" t="str">
        <x:v>UNRESOLVED</x:v>
      </x:c>
      <x:c r="S55" s="23"/>
      <x:c r="T55" s="23" t="str">
        <x:v>AC</x:v>
      </x:c>
      <x:c r="U55" s="23" t="n">
        <x:v>10</x:v>
      </x:c>
      <x:c r="V55" s="23" t="n">
        <x:v>10</x:v>
      </x:c>
      <x:c r="W55" s="64" t="n">
        <x:v>100</x:v>
      </x:c>
      <x:c r="X55" s="23" t="n">
        <x:v>1</x:v>
      </x:c>
      <x:c r="Y55" s="23" t="n">
        <x:v>1</x:v>
      </x:c>
      <x:c r="Z55" s="23" t="n">
        <x:v>0</x:v>
      </x:c>
      <x:c r="AA55" s="23" t="n">
        <x:v>0</x:v>
      </x:c>
      <x:c r="AB55" s="23" t="n">
        <x:v>0</x:v>
      </x:c>
      <x:c r="AC55" s="23" t="n">
        <x:v>4</x:v>
      </x:c>
      <x:c r="AD55" s="67" t="n">
        <x:v>38140</x:v>
      </x:c>
      <x:c r="AE55" s="23" t="str">
        <x:v>runs/run_61Vh3ut1VDmrG74</x:v>
      </x:c>
    </x:row>
    <x:row r="56">
      <x:c r="A56" s="23" t="str">
        <x:v>run_VQxLmXCpVXxHywfR</x:v>
      </x:c>
      <x:c r="B56" s="23" t="str">
        <x:v>noip2014_senior_road</x:v>
      </x:c>
      <x:c r="C56" s="23" t="str">
        <x:v>寻找道路</x:v>
      </x:c>
      <x:c r="D56" s="23" t="str">
        <x:v>noip2014_senior</x:v>
      </x:c>
      <x:c r="E56" s="23" t="str">
        <x:v>普及</x:v>
      </x:c>
      <x:c r="F56" s="23" t="str">
        <x:v>run_result</x:v>
      </x:c>
      <x:c r="G56" s="23" t="str">
        <x:v>collection-20260910T103603Z</x:v>
      </x:c>
      <x:c r="H56" s="61" t="n">
        <x:v>46275.68334337963</x:v>
      </x:c>
      <x:c r="I56" s="23" t="str">
        <x:v>COMPLETED</x:v>
      </x:c>
      <x:c r="J56" s="23" t="str">
        <x:v>AC</x:v>
      </x:c>
      <x:c r="K56" s="23" t="n">
        <x:v>10</x:v>
      </x:c>
      <x:c r="L56" s="23" t="n">
        <x:v>10</x:v>
      </x:c>
      <x:c r="M56" s="64" t="n">
        <x:v>100</x:v>
      </x:c>
      <x:c r="N56" s="23" t="n">
        <x:v>1</x:v>
      </x:c>
      <x:c r="O56" s="23" t="n">
        <x:v>1</x:v>
      </x:c>
      <x:c r="P56" s="23" t="n">
        <x:v>1</x:v>
      </x:c>
      <x:c r="Q56" s="23" t="n">
        <x:v>0</x:v>
      </x:c>
      <x:c r="R56" s="23" t="str">
        <x:v>UNRESOLVED</x:v>
      </x:c>
      <x:c r="S56" s="23"/>
      <x:c r="T56" s="23" t="str">
        <x:v>AC</x:v>
      </x:c>
      <x:c r="U56" s="23" t="n">
        <x:v>10</x:v>
      </x:c>
      <x:c r="V56" s="23" t="n">
        <x:v>10</x:v>
      </x:c>
      <x:c r="W56" s="64" t="n">
        <x:v>100</x:v>
      </x:c>
      <x:c r="X56" s="23" t="n">
        <x:v>1</x:v>
      </x:c>
      <x:c r="Y56" s="23" t="n">
        <x:v>1</x:v>
      </x:c>
      <x:c r="Z56" s="23" t="n">
        <x:v>0</x:v>
      </x:c>
      <x:c r="AA56" s="23" t="n">
        <x:v>0</x:v>
      </x:c>
      <x:c r="AB56" s="23" t="n">
        <x:v>0</x:v>
      </x:c>
      <x:c r="AC56" s="23" t="n">
        <x:v>4</x:v>
      </x:c>
      <x:c r="AD56" s="67" t="n">
        <x:v>46327</x:v>
      </x:c>
      <x:c r="AE56" s="23" t="str">
        <x:v>runs/run_VQxLmXCpVXxHywfR</x:v>
      </x:c>
    </x:row>
    <x:row r="57">
      <x:c r="A57" s="23" t="str">
        <x:v>run_v1Mdcn5kOf9gYk92</x:v>
      </x:c>
      <x:c r="B57" s="23" t="str">
        <x:v>noip2014_senior_rps</x:v>
      </x:c>
      <x:c r="C57" s="23" t="str">
        <x:v>生活大爆炸版石头剪刀布</x:v>
      </x:c>
      <x:c r="D57" s="23" t="str">
        <x:v>noip2014_senior</x:v>
      </x:c>
      <x:c r="E57" s="23" t="str">
        <x:v>普及−</x:v>
      </x:c>
      <x:c r="F57" s="23" t="str">
        <x:v>run_result</x:v>
      </x:c>
      <x:c r="G57" s="23" t="str">
        <x:v>collection-20260910T103603Z</x:v>
      </x:c>
      <x:c r="H57" s="61" t="n">
        <x:v>46275.68441068287</x:v>
      </x:c>
      <x:c r="I57" s="23" t="str">
        <x:v>COMPLETED</x:v>
      </x:c>
      <x:c r="J57" s="23" t="str">
        <x:v>AC</x:v>
      </x:c>
      <x:c r="K57" s="23" t="n">
        <x:v>10</x:v>
      </x:c>
      <x:c r="L57" s="23" t="n">
        <x:v>10</x:v>
      </x:c>
      <x:c r="M57" s="64" t="n">
        <x:v>100</x:v>
      </x:c>
      <x:c r="N57" s="23" t="n">
        <x:v>1</x:v>
      </x:c>
      <x:c r="O57" s="23" t="n">
        <x:v>1</x:v>
      </x:c>
      <x:c r="P57" s="23" t="n">
        <x:v>1</x:v>
      </x:c>
      <x:c r="Q57" s="23" t="n">
        <x:v>0</x:v>
      </x:c>
      <x:c r="R57" s="23" t="str">
        <x:v>UNRESOLVED</x:v>
      </x:c>
      <x:c r="S57" s="23"/>
      <x:c r="T57" s="23" t="str">
        <x:v>AC</x:v>
      </x:c>
      <x:c r="U57" s="23" t="n">
        <x:v>10</x:v>
      </x:c>
      <x:c r="V57" s="23" t="n">
        <x:v>10</x:v>
      </x:c>
      <x:c r="W57" s="64" t="n">
        <x:v>100</x:v>
      </x:c>
      <x:c r="X57" s="23" t="n">
        <x:v>1</x:v>
      </x:c>
      <x:c r="Y57" s="23" t="n">
        <x:v>1</x:v>
      </x:c>
      <x:c r="Z57" s="23" t="n">
        <x:v>0</x:v>
      </x:c>
      <x:c r="AA57" s="23" t="n">
        <x:v>0</x:v>
      </x:c>
      <x:c r="AB57" s="23" t="n">
        <x:v>0</x:v>
      </x:c>
      <x:c r="AC57" s="23" t="n">
        <x:v>4</x:v>
      </x:c>
      <x:c r="AD57" s="67" t="n">
        <x:v>34852</x:v>
      </x:c>
      <x:c r="AE57" s="23" t="str">
        <x:v>runs/run_v1Mdcn5kOf9gYk92</x:v>
      </x:c>
    </x:row>
    <x:row r="58">
      <x:c r="A58" s="23" t="str">
        <x:v>run_rC009fgXKZK0ginn</x:v>
      </x:c>
      <x:c r="B58" s="23" t="str">
        <x:v>noip2014_senior_wireless</x:v>
      </x:c>
      <x:c r="C58" s="23" t="str">
        <x:v>无线网络发射器选址</x:v>
      </x:c>
      <x:c r="D58" s="23" t="str">
        <x:v>noip2014_senior</x:v>
      </x:c>
      <x:c r="E58" s="23" t="str">
        <x:v>普及−</x:v>
      </x:c>
      <x:c r="F58" s="23" t="str">
        <x:v>run_result</x:v>
      </x:c>
      <x:c r="G58" s="23" t="str">
        <x:v>collection-20260910T103603Z</x:v>
      </x:c>
      <x:c r="H58" s="61" t="n">
        <x:v>46275.68589267361</x:v>
      </x:c>
      <x:c r="I58" s="23" t="str">
        <x:v>COMPLETED</x:v>
      </x:c>
      <x:c r="J58" s="23" t="str">
        <x:v>AC</x:v>
      </x:c>
      <x:c r="K58" s="23" t="n">
        <x:v>10</x:v>
      </x:c>
      <x:c r="L58" s="23" t="n">
        <x:v>10</x:v>
      </x:c>
      <x:c r="M58" s="64" t="n">
        <x:v>100</x:v>
      </x:c>
      <x:c r="N58" s="23" t="n">
        <x:v>1</x:v>
      </x:c>
      <x:c r="O58" s="23" t="n">
        <x:v>1</x:v>
      </x:c>
      <x:c r="P58" s="23" t="n">
        <x:v>1</x:v>
      </x:c>
      <x:c r="Q58" s="23" t="n">
        <x:v>0</x:v>
      </x:c>
      <x:c r="R58" s="23" t="str">
        <x:v>UNRESOLVED</x:v>
      </x:c>
      <x:c r="S58" s="23"/>
      <x:c r="T58" s="23" t="str">
        <x:v>AC</x:v>
      </x:c>
      <x:c r="U58" s="23" t="n">
        <x:v>10</x:v>
      </x:c>
      <x:c r="V58" s="23" t="n">
        <x:v>10</x:v>
      </x:c>
      <x:c r="W58" s="64" t="n">
        <x:v>100</x:v>
      </x:c>
      <x:c r="X58" s="23" t="n">
        <x:v>1</x:v>
      </x:c>
      <x:c r="Y58" s="23" t="n">
        <x:v>1</x:v>
      </x:c>
      <x:c r="Z58" s="23" t="n">
        <x:v>0</x:v>
      </x:c>
      <x:c r="AA58" s="23" t="n">
        <x:v>0</x:v>
      </x:c>
      <x:c r="AB58" s="23" t="n">
        <x:v>0</x:v>
      </x:c>
      <x:c r="AC58" s="23" t="n">
        <x:v>4</x:v>
      </x:c>
      <x:c r="AD58" s="67" t="n">
        <x:v>29304</x:v>
      </x:c>
      <x:c r="AE58" s="23" t="str">
        <x:v>runs/run_rC009fgXKZK0ginn</x:v>
      </x:c>
    </x:row>
    <x:row r="59">
      <x:c r="A59" s="23" t="str">
        <x:v>run_25X8tgq2qpxb0Yyc</x:v>
      </x:c>
      <x:c r="B59" s="23" t="str">
        <x:v>noip2015_junior_coin</x:v>
      </x:c>
      <x:c r="C59" s="23" t="str">
        <x:v>金币</x:v>
      </x:c>
      <x:c r="D59" s="23" t="str">
        <x:v>noip2015_junior</x:v>
      </x:c>
      <x:c r="E59" s="23" t="str">
        <x:v>入门</x:v>
      </x:c>
      <x:c r="F59" s="23" t="str">
        <x:v>run_result</x:v>
      </x:c>
      <x:c r="G59" s="23" t="str">
        <x:v>collection-20260910T103603Z</x:v>
      </x:c>
      <x:c r="H59" s="61" t="n">
        <x:v>46275.68614329861</x:v>
      </x:c>
      <x:c r="I59" s="23" t="str">
        <x:v>COMPLETED</x:v>
      </x:c>
      <x:c r="J59" s="23" t="str">
        <x:v>AC</x:v>
      </x:c>
      <x:c r="K59" s="23" t="n">
        <x:v>10</x:v>
      </x:c>
      <x:c r="L59" s="23" t="n">
        <x:v>10</x:v>
      </x:c>
      <x:c r="M59" s="64" t="n">
        <x:v>100</x:v>
      </x:c>
      <x:c r="N59" s="23" t="n">
        <x:v>1</x:v>
      </x:c>
      <x:c r="O59" s="23" t="n">
        <x:v>1</x:v>
      </x:c>
      <x:c r="P59" s="23" t="n">
        <x:v>1</x:v>
      </x:c>
      <x:c r="Q59" s="23" t="n">
        <x:v>0</x:v>
      </x:c>
      <x:c r="R59" s="23" t="str">
        <x:v>UNRESOLVED</x:v>
      </x:c>
      <x:c r="S59" s="23"/>
      <x:c r="T59" s="23" t="str">
        <x:v>AC</x:v>
      </x:c>
      <x:c r="U59" s="23" t="n">
        <x:v>10</x:v>
      </x:c>
      <x:c r="V59" s="23" t="n">
        <x:v>10</x:v>
      </x:c>
      <x:c r="W59" s="64" t="n">
        <x:v>100</x:v>
      </x:c>
      <x:c r="X59" s="23" t="n">
        <x:v>1</x:v>
      </x:c>
      <x:c r="Y59" s="23" t="n">
        <x:v>0</x:v>
      </x:c>
      <x:c r="Z59" s="23" t="n">
        <x:v>3</x:v>
      </x:c>
      <x:c r="AA59" s="23" t="n">
        <x:v>3</x:v>
      </x:c>
      <x:c r="AB59" s="23" t="n">
        <x:v>1</x:v>
      </x:c>
      <x:c r="AC59" s="23" t="n">
        <x:v>13</x:v>
      </x:c>
      <x:c r="AD59" s="67" t="n">
        <x:v>99315</x:v>
      </x:c>
      <x:c r="AE59" s="23" t="str">
        <x:v>runs/run_25X8tgq2qpxb0Yyc</x:v>
      </x:c>
    </x:row>
    <x:row r="60">
      <x:c r="A60" s="23" t="str">
        <x:v>run_Qszj6Td6x2mtolG</x:v>
      </x:c>
      <x:c r="B60" s="23" t="str">
        <x:v>noip2015_junior_mine</x:v>
      </x:c>
      <x:c r="C60" s="23" t="str">
        <x:v>扫雷游戏</x:v>
      </x:c>
      <x:c r="D60" s="23" t="str">
        <x:v>noip2015_junior</x:v>
      </x:c>
      <x:c r="E60" s="23" t="str">
        <x:v>入门</x:v>
      </x:c>
      <x:c r="F60" s="23" t="str">
        <x:v>run_result</x:v>
      </x:c>
      <x:c r="G60" s="23" t="str">
        <x:v>collection-20260910T103603Z</x:v>
      </x:c>
      <x:c r="H60" s="61" t="n">
        <x:v>46275.68738278935</x:v>
      </x:c>
      <x:c r="I60" s="23" t="str">
        <x:v>COMPLETED</x:v>
      </x:c>
      <x:c r="J60" s="23" t="str">
        <x:v>AC</x:v>
      </x:c>
      <x:c r="K60" s="23" t="n">
        <x:v>10</x:v>
      </x:c>
      <x:c r="L60" s="23" t="n">
        <x:v>10</x:v>
      </x:c>
      <x:c r="M60" s="64" t="n">
        <x:v>100</x:v>
      </x:c>
      <x:c r="N60" s="23" t="n">
        <x:v>1</x:v>
      </x:c>
      <x:c r="O60" s="23" t="n">
        <x:v>1</x:v>
      </x:c>
      <x:c r="P60" s="23" t="n">
        <x:v>1</x:v>
      </x:c>
      <x:c r="Q60" s="23" t="n">
        <x:v>0</x:v>
      </x:c>
      <x:c r="R60" s="23" t="str">
        <x:v>UNRESOLVED</x:v>
      </x:c>
      <x:c r="S60" s="23"/>
      <x:c r="T60" s="23" t="str">
        <x:v>AC</x:v>
      </x:c>
      <x:c r="U60" s="23" t="n">
        <x:v>10</x:v>
      </x:c>
      <x:c r="V60" s="23" t="n">
        <x:v>10</x:v>
      </x:c>
      <x:c r="W60" s="64" t="n">
        <x:v>100</x:v>
      </x:c>
      <x:c r="X60" s="23" t="n">
        <x:v>1</x:v>
      </x:c>
      <x:c r="Y60" s="23" t="n">
        <x:v>1</x:v>
      </x:c>
      <x:c r="Z60" s="23" t="n">
        <x:v>0</x:v>
      </x:c>
      <x:c r="AA60" s="23" t="n">
        <x:v>0</x:v>
      </x:c>
      <x:c r="AB60" s="23" t="n">
        <x:v>0</x:v>
      </x:c>
      <x:c r="AC60" s="23" t="n">
        <x:v>4</x:v>
      </x:c>
      <x:c r="AD60" s="67" t="n">
        <x:v>28498</x:v>
      </x:c>
      <x:c r="AE60" s="23" t="str">
        <x:v>runs/run_Qszj6Td6x2mtolG</x:v>
      </x:c>
    </x:row>
    <x:row r="61">
      <x:c r="A61" s="23" t="str">
        <x:v>run_lJID6kaMN6PY4F</x:v>
      </x:c>
      <x:c r="B61" s="23" t="str">
        <x:v>noip2015_junior_salesman</x:v>
      </x:c>
      <x:c r="C61" s="23" t="str">
        <x:v>推销员</x:v>
      </x:c>
      <x:c r="D61" s="23" t="str">
        <x:v>noip2015_junior</x:v>
      </x:c>
      <x:c r="E61" s="23" t="str">
        <x:v>提高</x:v>
      </x:c>
      <x:c r="F61" s="23" t="str">
        <x:v>run_result</x:v>
      </x:c>
      <x:c r="G61" s="23" t="str">
        <x:v>collection-20260910T103603Z</x:v>
      </x:c>
      <x:c r="H61" s="61" t="n">
        <x:v>46275.688698391205</x:v>
      </x:c>
      <x:c r="I61" s="23" t="str">
        <x:v>MAX_ROUNDS</x:v>
      </x:c>
      <x:c r="J61" s="23" t="str">
        <x:v>AC</x:v>
      </x:c>
      <x:c r="K61" s="23" t="n">
        <x:v>10</x:v>
      </x:c>
      <x:c r="L61" s="23" t="n">
        <x:v>10</x:v>
      </x:c>
      <x:c r="M61" s="64" t="n">
        <x:v>100</x:v>
      </x:c>
      <x:c r="N61" s="23" t="n">
        <x:v>1</x:v>
      </x:c>
      <x:c r="O61" s="23" t="n">
        <x:v>0</x:v>
      </x:c>
      <x:c r="P61" s="23" t="n">
        <x:v>0</x:v>
      </x:c>
      <x:c r="Q61" s="23" t="n">
        <x:v>1</x:v>
      </x:c>
      <x:c r="R61" s="23" t="str">
        <x:v>RESULT_CORRECT_PROCESS_INVALID</x:v>
      </x:c>
      <x:c r="S61" s="23" t="str">
        <x:v>S2</x:v>
      </x:c>
      <x:c r="T61" s="23" t="str">
        <x:v>AC</x:v>
      </x:c>
      <x:c r="U61" s="23" t="n">
        <x:v>10</x:v>
      </x:c>
      <x:c r="V61" s="23" t="n">
        <x:v>10</x:v>
      </x:c>
      <x:c r="W61" s="64" t="n">
        <x:v>100</x:v>
      </x:c>
      <x:c r="X61" s="23" t="n">
        <x:v>1</x:v>
      </x:c>
      <x:c r="Y61" s="23" t="n">
        <x:v>0</x:v>
      </x:c>
      <x:c r="Z61" s="23" t="n">
        <x:v>3</x:v>
      </x:c>
      <x:c r="AA61" s="23" t="n">
        <x:v>3</x:v>
      </x:c>
      <x:c r="AB61" s="23" t="n">
        <x:v>0</x:v>
      </x:c>
      <x:c r="AC61" s="23" t="n">
        <x:v>13</x:v>
      </x:c>
      <x:c r="AD61" s="67" t="n">
        <x:v>237429</x:v>
      </x:c>
      <x:c r="AE61" s="23" t="str">
        <x:v>runs/run_lJID6kaMN6PY4F</x:v>
      </x:c>
    </x:row>
    <x:row r="62">
      <x:c r="A62" s="23" t="str">
        <x:v>run_ViFvJ38WqBQd6vF</x:v>
      </x:c>
      <x:c r="B62" s="23" t="str">
        <x:v>noip2015_junior_sum</x:v>
      </x:c>
      <x:c r="C62" s="23" t="str">
        <x:v>求和</x:v>
      </x:c>
      <x:c r="D62" s="23" t="str">
        <x:v>noip2015_junior</x:v>
      </x:c>
      <x:c r="E62" s="23" t="str">
        <x:v>普及+/提高−</x:v>
      </x:c>
      <x:c r="F62" s="23" t="str">
        <x:v>run_result</x:v>
      </x:c>
      <x:c r="G62" s="23" t="str">
        <x:v>collection-20260910T103603Z</x:v>
      </x:c>
      <x:c r="H62" s="61" t="n">
        <x:v>46275.69075016204</x:v>
      </x:c>
      <x:c r="I62" s="23" t="str">
        <x:v>COMPLETED</x:v>
      </x:c>
      <x:c r="J62" s="23" t="str">
        <x:v>AC</x:v>
      </x:c>
      <x:c r="K62" s="23" t="n">
        <x:v>10</x:v>
      </x:c>
      <x:c r="L62" s="23" t="n">
        <x:v>10</x:v>
      </x:c>
      <x:c r="M62" s="64" t="n">
        <x:v>100</x:v>
      </x:c>
      <x:c r="N62" s="23" t="n">
        <x:v>1</x:v>
      </x:c>
      <x:c r="O62" s="23" t="n">
        <x:v>1</x:v>
      </x:c>
      <x:c r="P62" s="23" t="n">
        <x:v>1</x:v>
      </x:c>
      <x:c r="Q62" s="23" t="n">
        <x:v>0</x:v>
      </x:c>
      <x:c r="R62" s="23" t="str">
        <x:v>UNRESOLVED</x:v>
      </x:c>
      <x:c r="S62" s="23"/>
      <x:c r="T62" s="23" t="str">
        <x:v>AC</x:v>
      </x:c>
      <x:c r="U62" s="23" t="n">
        <x:v>10</x:v>
      </x:c>
      <x:c r="V62" s="23" t="n">
        <x:v>10</x:v>
      </x:c>
      <x:c r="W62" s="64" t="n">
        <x:v>100</x:v>
      </x:c>
      <x:c r="X62" s="23" t="n">
        <x:v>1</x:v>
      </x:c>
      <x:c r="Y62" s="23" t="n">
        <x:v>1</x:v>
      </x:c>
      <x:c r="Z62" s="23" t="n">
        <x:v>0</x:v>
      </x:c>
      <x:c r="AA62" s="23" t="n">
        <x:v>0</x:v>
      </x:c>
      <x:c r="AB62" s="23" t="n">
        <x:v>0</x:v>
      </x:c>
      <x:c r="AC62" s="23" t="n">
        <x:v>4</x:v>
      </x:c>
      <x:c r="AD62" s="67" t="n">
        <x:v>48200</x:v>
      </x:c>
      <x:c r="AE62" s="23" t="str">
        <x:v>runs/run_ViFvJ38WqBQd6vF</x:v>
      </x:c>
    </x:row>
    <x:row r="63">
      <x:c r="A63" s="23" t="str">
        <x:v>run_0eXr027v9hiob9R</x:v>
      </x:c>
      <x:c r="B63" s="23" t="str">
        <x:v>noip2015_senior_magic</x:v>
      </x:c>
      <x:c r="C63" s="23" t="str">
        <x:v>神奇的幻方</x:v>
      </x:c>
      <x:c r="D63" s="23" t="str">
        <x:v>noip2015_senior</x:v>
      </x:c>
      <x:c r="E63" s="23" t="str">
        <x:v>普及−</x:v>
      </x:c>
      <x:c r="F63" s="23" t="str">
        <x:v>run_result</x:v>
      </x:c>
      <x:c r="G63" s="23" t="str">
        <x:v>collection-20260910T103603Z</x:v>
      </x:c>
      <x:c r="H63" s="61" t="n">
        <x:v>46275.69320016204</x:v>
      </x:c>
      <x:c r="I63" s="23" t="str">
        <x:v>COMPLETED</x:v>
      </x:c>
      <x:c r="J63" s="23" t="str">
        <x:v>AC</x:v>
      </x:c>
      <x:c r="K63" s="23" t="n">
        <x:v>10</x:v>
      </x:c>
      <x:c r="L63" s="23" t="n">
        <x:v>10</x:v>
      </x:c>
      <x:c r="M63" s="64" t="n">
        <x:v>100</x:v>
      </x:c>
      <x:c r="N63" s="23" t="n">
        <x:v>1</x:v>
      </x:c>
      <x:c r="O63" s="23" t="n">
        <x:v>1</x:v>
      </x:c>
      <x:c r="P63" s="23" t="n">
        <x:v>1</x:v>
      </x:c>
      <x:c r="Q63" s="23" t="n">
        <x:v>0</x:v>
      </x:c>
      <x:c r="R63" s="23" t="str">
        <x:v>UNRESOLVED</x:v>
      </x:c>
      <x:c r="S63" s="23"/>
      <x:c r="T63" s="23" t="str">
        <x:v>AC</x:v>
      </x:c>
      <x:c r="U63" s="23" t="n">
        <x:v>10</x:v>
      </x:c>
      <x:c r="V63" s="23" t="n">
        <x:v>10</x:v>
      </x:c>
      <x:c r="W63" s="64" t="n">
        <x:v>100</x:v>
      </x:c>
      <x:c r="X63" s="23" t="n">
        <x:v>1</x:v>
      </x:c>
      <x:c r="Y63" s="23" t="n">
        <x:v>1</x:v>
      </x:c>
      <x:c r="Z63" s="23" t="n">
        <x:v>0</x:v>
      </x:c>
      <x:c r="AA63" s="23" t="n">
        <x:v>0</x:v>
      </x:c>
      <x:c r="AB63" s="23" t="n">
        <x:v>0</x:v>
      </x:c>
      <x:c r="AC63" s="23" t="n">
        <x:v>4</x:v>
      </x:c>
      <x:c r="AD63" s="67" t="n">
        <x:v>50061</x:v>
      </x:c>
      <x:c r="AE63" s="23" t="str">
        <x:v>runs/run_0eXr027v9hiob9R</x:v>
      </x:c>
    </x:row>
    <x:row r="64">
      <x:c r="A64" s="23" t="str">
        <x:v>run_v8gEKqOpVkcw7F12</x:v>
      </x:c>
      <x:c r="B64" s="23" t="str">
        <x:v>noip2015_senior_stone</x:v>
      </x:c>
      <x:c r="C64" s="23" t="str">
        <x:v>跳石头</x:v>
      </x:c>
      <x:c r="D64" s="23" t="str">
        <x:v>noip2015_senior</x:v>
      </x:c>
      <x:c r="E64" s="23" t="str">
        <x:v>普及</x:v>
      </x:c>
      <x:c r="F64" s="23" t="str">
        <x:v>run_result</x:v>
      </x:c>
      <x:c r="G64" s="23" t="str">
        <x:v>collection-20260910T103603Z</x:v>
      </x:c>
      <x:c r="H64" s="61" t="n">
        <x:v>46275.69757943287</x:v>
      </x:c>
      <x:c r="I64" s="23" t="str">
        <x:v>COMPLETED</x:v>
      </x:c>
      <x:c r="J64" s="23" t="str">
        <x:v>AC</x:v>
      </x:c>
      <x:c r="K64" s="23" t="n">
        <x:v>10</x:v>
      </x:c>
      <x:c r="L64" s="23" t="n">
        <x:v>10</x:v>
      </x:c>
      <x:c r="M64" s="64" t="n">
        <x:v>100</x:v>
      </x:c>
      <x:c r="N64" s="23" t="n">
        <x:v>1</x:v>
      </x:c>
      <x:c r="O64" s="23" t="n">
        <x:v>1</x:v>
      </x:c>
      <x:c r="P64" s="23" t="n">
        <x:v>1</x:v>
      </x:c>
      <x:c r="Q64" s="23" t="n">
        <x:v>0</x:v>
      </x:c>
      <x:c r="R64" s="23" t="str">
        <x:v>UNRESOLVED</x:v>
      </x:c>
      <x:c r="S64" s="23"/>
      <x:c r="T64" s="23" t="str">
        <x:v>AC</x:v>
      </x:c>
      <x:c r="U64" s="23" t="n">
        <x:v>10</x:v>
      </x:c>
      <x:c r="V64" s="23" t="n">
        <x:v>10</x:v>
      </x:c>
      <x:c r="W64" s="64" t="n">
        <x:v>100</x:v>
      </x:c>
      <x:c r="X64" s="23" t="n">
        <x:v>1</x:v>
      </x:c>
      <x:c r="Y64" s="23" t="n">
        <x:v>1</x:v>
      </x:c>
      <x:c r="Z64" s="23" t="n">
        <x:v>0</x:v>
      </x:c>
      <x:c r="AA64" s="23" t="n">
        <x:v>0</x:v>
      </x:c>
      <x:c r="AB64" s="23" t="n">
        <x:v>0</x:v>
      </x:c>
      <x:c r="AC64" s="23" t="n">
        <x:v>4</x:v>
      </x:c>
      <x:c r="AD64" s="67" t="n">
        <x:v>38067</x:v>
      </x:c>
      <x:c r="AE64" s="23" t="str">
        <x:v>runs/run_v8gEKqOpVkcw7F12</x:v>
      </x:c>
    </x:row>
    <x:row r="65">
      <x:c r="A65" s="23" t="str">
        <x:v>run_UKSNvkuV5T1IOmGH</x:v>
      </x:c>
      <x:c r="B65" s="23" t="str">
        <x:v>noip2015_senior_substring</x:v>
      </x:c>
      <x:c r="C65" s="23" t="str">
        <x:v>子串</x:v>
      </x:c>
      <x:c r="D65" s="23" t="str">
        <x:v>noip2015_senior</x:v>
      </x:c>
      <x:c r="E65" s="23" t="str">
        <x:v>普及+/提高−</x:v>
      </x:c>
      <x:c r="F65" s="23" t="str">
        <x:v>run_result</x:v>
      </x:c>
      <x:c r="G65" s="23" t="str">
        <x:v>collection-20260910T103603Z</x:v>
      </x:c>
      <x:c r="H65" s="61" t="n">
        <x:v>46275.699886967595</x:v>
      </x:c>
      <x:c r="I65" s="23" t="str">
        <x:v>COMPLETED</x:v>
      </x:c>
      <x:c r="J65" s="23" t="str">
        <x:v>AC</x:v>
      </x:c>
      <x:c r="K65" s="23" t="n">
        <x:v>10</x:v>
      </x:c>
      <x:c r="L65" s="23" t="n">
        <x:v>10</x:v>
      </x:c>
      <x:c r="M65" s="64" t="n">
        <x:v>100</x:v>
      </x:c>
      <x:c r="N65" s="23" t="n">
        <x:v>1</x:v>
      </x:c>
      <x:c r="O65" s="23" t="n">
        <x:v>1</x:v>
      </x:c>
      <x:c r="P65" s="23" t="n">
        <x:v>1</x:v>
      </x:c>
      <x:c r="Q65" s="23" t="n">
        <x:v>0</x:v>
      </x:c>
      <x:c r="R65" s="23" t="str">
        <x:v>UNRESOLVED</x:v>
      </x:c>
      <x:c r="S65" s="23"/>
      <x:c r="T65" s="23" t="str">
        <x:v>AC</x:v>
      </x:c>
      <x:c r="U65" s="23" t="n">
        <x:v>10</x:v>
      </x:c>
      <x:c r="V65" s="23" t="n">
        <x:v>10</x:v>
      </x:c>
      <x:c r="W65" s="64" t="n">
        <x:v>100</x:v>
      </x:c>
      <x:c r="X65" s="23" t="n">
        <x:v>1</x:v>
      </x:c>
      <x:c r="Y65" s="23" t="n">
        <x:v>1</x:v>
      </x:c>
      <x:c r="Z65" s="23" t="n">
        <x:v>0</x:v>
      </x:c>
      <x:c r="AA65" s="23" t="n">
        <x:v>0</x:v>
      </x:c>
      <x:c r="AB65" s="23" t="n">
        <x:v>0</x:v>
      </x:c>
      <x:c r="AC65" s="23" t="n">
        <x:v>4</x:v>
      </x:c>
      <x:c r="AD65" s="67" t="n">
        <x:v>60042</x:v>
      </x:c>
      <x:c r="AE65" s="23" t="str">
        <x:v>runs/run_UKSNvkuV5T1IOmGH</x:v>
      </x:c>
    </x:row>
    <x:row r="66">
      <x:c r="A66" s="23" t="str">
        <x:v>run_1daD1gXeoRNWm57J</x:v>
      </x:c>
      <x:c r="B66" s="23" t="str">
        <x:v>noip2015_senior_transport</x:v>
      </x:c>
      <x:c r="C66" s="23" t="str">
        <x:v>运输计划</x:v>
      </x:c>
      <x:c r="D66" s="23" t="str">
        <x:v>noip2015_senior</x:v>
      </x:c>
      <x:c r="E66" s="23" t="str">
        <x:v>提高</x:v>
      </x:c>
      <x:c r="F66" s="23" t="str">
        <x:v>run_result</x:v>
      </x:c>
      <x:c r="G66" s="23" t="str">
        <x:v>collection-20260910T103603Z</x:v>
      </x:c>
      <x:c r="H66" s="61" t="n">
        <x:v>46275.701293645834</x:v>
      </x:c>
      <x:c r="I66" s="23" t="str">
        <x:v>COMPLETED</x:v>
      </x:c>
      <x:c r="J66" s="23" t="str">
        <x:v>AC</x:v>
      </x:c>
      <x:c r="K66" s="23" t="n">
        <x:v>20</x:v>
      </x:c>
      <x:c r="L66" s="23" t="n">
        <x:v>20</x:v>
      </x:c>
      <x:c r="M66" s="64" t="n">
        <x:v>100</x:v>
      </x:c>
      <x:c r="N66" s="23" t="n">
        <x:v>1</x:v>
      </x:c>
      <x:c r="O66" s="23" t="n">
        <x:v>1</x:v>
      </x:c>
      <x:c r="P66" s="23" t="n">
        <x:v>1</x:v>
      </x:c>
      <x:c r="Q66" s="23" t="n">
        <x:v>0</x:v>
      </x:c>
      <x:c r="R66" s="23" t="str">
        <x:v>UNRESOLVED</x:v>
      </x:c>
      <x:c r="S66" s="23"/>
      <x:c r="T66" s="23" t="str">
        <x:v>AC</x:v>
      </x:c>
      <x:c r="U66" s="23" t="n">
        <x:v>20</x:v>
      </x:c>
      <x:c r="V66" s="23" t="n">
        <x:v>20</x:v>
      </x:c>
      <x:c r="W66" s="64" t="n">
        <x:v>100</x:v>
      </x:c>
      <x:c r="X66" s="23" t="n">
        <x:v>1</x:v>
      </x:c>
      <x:c r="Y66" s="23" t="n">
        <x:v>1</x:v>
      </x:c>
      <x:c r="Z66" s="23" t="n">
        <x:v>0</x:v>
      </x:c>
      <x:c r="AA66" s="23" t="n">
        <x:v>0</x:v>
      </x:c>
      <x:c r="AB66" s="23" t="n">
        <x:v>0</x:v>
      </x:c>
      <x:c r="AC66" s="23" t="n">
        <x:v>4</x:v>
      </x:c>
      <x:c r="AD66" s="67" t="n">
        <x:v>56654</x:v>
      </x:c>
      <x:c r="AE66" s="23" t="str">
        <x:v>runs/run_1daD1gXeoRNWm57J</x:v>
      </x:c>
    </x:row>
    <x:row r="67">
      <x:c r="A67" s="23" t="str">
        <x:v>run_aI26zu6L1yVpXpr</x:v>
      </x:c>
      <x:c r="B67" s="23" t="str">
        <x:v>noip2016_junior_magic</x:v>
      </x:c>
      <x:c r="C67" s="23" t="str">
        <x:v>魔法阵</x:v>
      </x:c>
      <x:c r="D67" s="23" t="str">
        <x:v>noip2016_junior</x:v>
      </x:c>
      <x:c r="E67" s="23" t="str">
        <x:v>普及+/提高−</x:v>
      </x:c>
      <x:c r="F67" s="23" t="str">
        <x:v>run_result</x:v>
      </x:c>
      <x:c r="G67" s="23" t="str">
        <x:v>collection-20260910T103603Z</x:v>
      </x:c>
      <x:c r="H67" s="61" t="n">
        <x:v>46275.70511353009</x:v>
      </x:c>
      <x:c r="I67" s="23" t="str">
        <x:v>COMPLETED</x:v>
      </x:c>
      <x:c r="J67" s="23" t="str">
        <x:v>AC</x:v>
      </x:c>
      <x:c r="K67" s="23" t="n">
        <x:v>20</x:v>
      </x:c>
      <x:c r="L67" s="23" t="n">
        <x:v>20</x:v>
      </x:c>
      <x:c r="M67" s="64" t="n">
        <x:v>100</x:v>
      </x:c>
      <x:c r="N67" s="23" t="n">
        <x:v>1</x:v>
      </x:c>
      <x:c r="O67" s="23" t="n">
        <x:v>1</x:v>
      </x:c>
      <x:c r="P67" s="23" t="n">
        <x:v>1</x:v>
      </x:c>
      <x:c r="Q67" s="23" t="n">
        <x:v>0</x:v>
      </x:c>
      <x:c r="R67" s="23" t="str">
        <x:v>UNRESOLVED</x:v>
      </x:c>
      <x:c r="S67" s="23"/>
      <x:c r="T67" s="23" t="str">
        <x:v>AC</x:v>
      </x:c>
      <x:c r="U67" s="23" t="n">
        <x:v>20</x:v>
      </x:c>
      <x:c r="V67" s="23" t="n">
        <x:v>20</x:v>
      </x:c>
      <x:c r="W67" s="64" t="n">
        <x:v>100</x:v>
      </x:c>
      <x:c r="X67" s="23" t="n">
        <x:v>1</x:v>
      </x:c>
      <x:c r="Y67" s="23" t="n">
        <x:v>0</x:v>
      </x:c>
      <x:c r="Z67" s="23" t="n">
        <x:v>1</x:v>
      </x:c>
      <x:c r="AA67" s="23" t="n">
        <x:v>1</x:v>
      </x:c>
      <x:c r="AB67" s="23" t="n">
        <x:v>1</x:v>
      </x:c>
      <x:c r="AC67" s="23" t="n">
        <x:v>7</x:v>
      </x:c>
      <x:c r="AD67" s="67" t="n">
        <x:v>103605</x:v>
      </x:c>
      <x:c r="AE67" s="23" t="str">
        <x:v>runs/run_aI26zu6L1yVpXpr</x:v>
      </x:c>
    </x:row>
    <x:row r="68">
      <x:c r="A68" s="23" t="str">
        <x:v>run_38hzQ4lU1qvvdKDt</x:v>
      </x:c>
      <x:c r="B68" s="23" t="str">
        <x:v>noip2016_junior_pencil</x:v>
      </x:c>
      <x:c r="C68" s="23" t="str">
        <x:v>买铅笔</x:v>
      </x:c>
      <x:c r="D68" s="23" t="str">
        <x:v>noip2016_junior</x:v>
      </x:c>
      <x:c r="E68" s="23" t="str">
        <x:v>入门</x:v>
      </x:c>
      <x:c r="F68" s="23" t="str">
        <x:v>run_result</x:v>
      </x:c>
      <x:c r="G68" s="23" t="str">
        <x:v>collection-20260910T103603Z</x:v>
      </x:c>
      <x:c r="H68" s="61" t="n">
        <x:v>46275.70522802083</x:v>
      </x:c>
      <x:c r="I68" s="23" t="str">
        <x:v>COMPLETED</x:v>
      </x:c>
      <x:c r="J68" s="23" t="str">
        <x:v>AC</x:v>
      </x:c>
      <x:c r="K68" s="23" t="n">
        <x:v>20</x:v>
      </x:c>
      <x:c r="L68" s="23" t="n">
        <x:v>20</x:v>
      </x:c>
      <x:c r="M68" s="64" t="n">
        <x:v>100</x:v>
      </x:c>
      <x:c r="N68" s="23" t="n">
        <x:v>1</x:v>
      </x:c>
      <x:c r="O68" s="23" t="n">
        <x:v>1</x:v>
      </x:c>
      <x:c r="P68" s="23" t="n">
        <x:v>1</x:v>
      </x:c>
      <x:c r="Q68" s="23" t="n">
        <x:v>0</x:v>
      </x:c>
      <x:c r="R68" s="23" t="str">
        <x:v>UNRESOLVED</x:v>
      </x:c>
      <x:c r="S68" s="23"/>
      <x:c r="T68" s="23" t="str">
        <x:v>AC</x:v>
      </x:c>
      <x:c r="U68" s="23" t="n">
        <x:v>20</x:v>
      </x:c>
      <x:c r="V68" s="23" t="n">
        <x:v>20</x:v>
      </x:c>
      <x:c r="W68" s="64" t="n">
        <x:v>100</x:v>
      </x:c>
      <x:c r="X68" s="23" t="n">
        <x:v>1</x:v>
      </x:c>
      <x:c r="Y68" s="23" t="n">
        <x:v>1</x:v>
      </x:c>
      <x:c r="Z68" s="23" t="n">
        <x:v>0</x:v>
      </x:c>
      <x:c r="AA68" s="23" t="n">
        <x:v>0</x:v>
      </x:c>
      <x:c r="AB68" s="23" t="n">
        <x:v>0</x:v>
      </x:c>
      <x:c r="AC68" s="23" t="n">
        <x:v>4</x:v>
      </x:c>
      <x:c r="AD68" s="67" t="n">
        <x:v>32533</x:v>
      </x:c>
      <x:c r="AE68" s="23" t="str">
        <x:v>runs/run_38hzQ4lU1qvvdKDt</x:v>
      </x:c>
    </x:row>
    <x:row r="69">
      <x:c r="A69" s="23" t="str">
        <x:v>run_0IsBDJa58dKOJfHi</x:v>
      </x:c>
      <x:c r="B69" s="23" t="str">
        <x:v>noip2016_junior_port</x:v>
      </x:c>
      <x:c r="C69" s="23" t="str">
        <x:v>海港</x:v>
      </x:c>
      <x:c r="D69" s="23" t="str">
        <x:v>noip2016_junior</x:v>
      </x:c>
      <x:c r="E69" s="23" t="str">
        <x:v>普及</x:v>
      </x:c>
      <x:c r="F69" s="23" t="str">
        <x:v>run_result</x:v>
      </x:c>
      <x:c r="G69" s="23" t="str">
        <x:v>collection-20260910T103603Z</x:v>
      </x:c>
      <x:c r="H69" s="61" t="n">
        <x:v>46275.70677645833</x:v>
      </x:c>
      <x:c r="I69" s="23" t="str">
        <x:v>COMPLETED</x:v>
      </x:c>
      <x:c r="J69" s="23" t="str">
        <x:v>AC</x:v>
      </x:c>
      <x:c r="K69" s="23" t="n">
        <x:v>20</x:v>
      </x:c>
      <x:c r="L69" s="23" t="n">
        <x:v>20</x:v>
      </x:c>
      <x:c r="M69" s="64" t="n">
        <x:v>100</x:v>
      </x:c>
      <x:c r="N69" s="23" t="n">
        <x:v>1</x:v>
      </x:c>
      <x:c r="O69" s="23" t="n">
        <x:v>1</x:v>
      </x:c>
      <x:c r="P69" s="23" t="n">
        <x:v>1</x:v>
      </x:c>
      <x:c r="Q69" s="23" t="n">
        <x:v>0</x:v>
      </x:c>
      <x:c r="R69" s="23" t="str">
        <x:v>UNRESOLVED</x:v>
      </x:c>
      <x:c r="S69" s="23"/>
      <x:c r="T69" s="23" t="str">
        <x:v>AC</x:v>
      </x:c>
      <x:c r="U69" s="23" t="n">
        <x:v>20</x:v>
      </x:c>
      <x:c r="V69" s="23" t="n">
        <x:v>20</x:v>
      </x:c>
      <x:c r="W69" s="64" t="n">
        <x:v>100</x:v>
      </x:c>
      <x:c r="X69" s="23" t="n">
        <x:v>1</x:v>
      </x:c>
      <x:c r="Y69" s="23" t="n">
        <x:v>1</x:v>
      </x:c>
      <x:c r="Z69" s="23" t="n">
        <x:v>0</x:v>
      </x:c>
      <x:c r="AA69" s="23" t="n">
        <x:v>0</x:v>
      </x:c>
      <x:c r="AB69" s="23" t="n">
        <x:v>0</x:v>
      </x:c>
      <x:c r="AC69" s="23" t="n">
        <x:v>4</x:v>
      </x:c>
      <x:c r="AD69" s="67" t="n">
        <x:v>43123</x:v>
      </x:c>
      <x:c r="AE69" s="23" t="str">
        <x:v>runs/run_0IsBDJa58dKOJfHi</x:v>
      </x:c>
    </x:row>
    <x:row r="70">
      <x:c r="A70" s="23" t="str">
        <x:v>run_02P4gM2cIubohU</x:v>
      </x:c>
      <x:c r="B70" s="23" t="str">
        <x:v>noip2016_senior_angrybirds</x:v>
      </x:c>
      <x:c r="C70" s="23" t="str">
        <x:v>愤怒的小鸟</x:v>
      </x:c>
      <x:c r="D70" s="23" t="str">
        <x:v>noip2016_senior</x:v>
      </x:c>
      <x:c r="E70" s="23" t="str">
        <x:v>提高</x:v>
      </x:c>
      <x:c r="F70" s="23" t="str">
        <x:v>run_result</x:v>
      </x:c>
      <x:c r="G70" s="23" t="str">
        <x:v>collection-20260910T103603Z</x:v>
      </x:c>
      <x:c r="H70" s="61" t="n">
        <x:v>46275.70932461805</x:v>
      </x:c>
      <x:c r="I70" s="23" t="str">
        <x:v>STALLED</x:v>
      </x:c>
      <x:c r="J70" s="23" t="str">
        <x:v>WA</x:v>
      </x:c>
      <x:c r="K70" s="23" t="n">
        <x:v>19</x:v>
      </x:c>
      <x:c r="L70" s="23" t="n">
        <x:v>20</x:v>
      </x:c>
      <x:c r="M70" s="64" t="n">
        <x:v>95</x:v>
      </x:c>
      <x:c r="N70" s="23" t="n">
        <x:v>0</x:v>
      </x:c>
      <x:c r="O70" s="23" t="n">
        <x:v>0</x:v>
      </x:c>
      <x:c r="P70" s="23" t="n">
        <x:v>0</x:v>
      </x:c>
      <x:c r="Q70" s="23" t="n">
        <x:v>0</x:v>
      </x:c>
      <x:c r="R70" s="23" t="str">
        <x:v>IMPLEMENTATION_MISMATCH</x:v>
      </x:c>
      <x:c r="S70" s="23" t="str">
        <x:v>S3</x:v>
      </x:c>
      <x:c r="T70" s="23" t="str">
        <x:v>WA</x:v>
      </x:c>
      <x:c r="U70" s="23" t="n">
        <x:v>19</x:v>
      </x:c>
      <x:c r="V70" s="23" t="n">
        <x:v>20</x:v>
      </x:c>
      <x:c r="W70" s="64" t="n">
        <x:v>95</x:v>
      </x:c>
      <x:c r="X70" s="23" t="n">
        <x:v>0</x:v>
      </x:c>
      <x:c r="Y70" s="23" t="n">
        <x:v>0</x:v>
      </x:c>
      <x:c r="Z70" s="23" t="n">
        <x:v>2</x:v>
      </x:c>
      <x:c r="AA70" s="23" t="n">
        <x:v>2</x:v>
      </x:c>
      <x:c r="AB70" s="23" t="n">
        <x:v>0</x:v>
      </x:c>
      <x:c r="AC70" s="23" t="n">
        <x:v>13</x:v>
      </x:c>
      <x:c r="AD70" s="67" t="n">
        <x:v>285848</x:v>
      </x:c>
      <x:c r="AE70" s="23" t="str">
        <x:v>runs/run_02P4gM2cIubohU</x:v>
      </x:c>
    </x:row>
    <x:row r="71">
      <x:c r="A71" s="23" t="str">
        <x:v>run_99cJxBllXGjBzo7B</x:v>
      </x:c>
      <x:c r="B71" s="23" t="str">
        <x:v>noip2016_senior_earthworm</x:v>
      </x:c>
      <x:c r="C71" s="23" t="str">
        <x:v>蚯蚓</x:v>
      </x:c>
      <x:c r="D71" s="23" t="str">
        <x:v>noip2016_senior</x:v>
      </x:c>
      <x:c r="E71" s="23" t="str">
        <x:v>提高</x:v>
      </x:c>
      <x:c r="F71" s="23" t="str">
        <x:v>run_result</x:v>
      </x:c>
      <x:c r="G71" s="23" t="str">
        <x:v>collection-20260910T103603Z</x:v>
      </x:c>
      <x:c r="H71" s="61" t="n">
        <x:v>46275.70976207176</x:v>
      </x:c>
      <x:c r="I71" s="23" t="str">
        <x:v>COMPLETED</x:v>
      </x:c>
      <x:c r="J71" s="23" t="str">
        <x:v>AC</x:v>
      </x:c>
      <x:c r="K71" s="23" t="n">
        <x:v>20</x:v>
      </x:c>
      <x:c r="L71" s="23" t="n">
        <x:v>20</x:v>
      </x:c>
      <x:c r="M71" s="64" t="n">
        <x:v>100</x:v>
      </x:c>
      <x:c r="N71" s="23" t="n">
        <x:v>1</x:v>
      </x:c>
      <x:c r="O71" s="23" t="n">
        <x:v>1</x:v>
      </x:c>
      <x:c r="P71" s="23" t="n">
        <x:v>1</x:v>
      </x:c>
      <x:c r="Q71" s="23" t="n">
        <x:v>0</x:v>
      </x:c>
      <x:c r="R71" s="23" t="str">
        <x:v>UNRESOLVED</x:v>
      </x:c>
      <x:c r="S71" s="23"/>
      <x:c r="T71" s="23" t="str">
        <x:v>AC</x:v>
      </x:c>
      <x:c r="U71" s="23" t="n">
        <x:v>20</x:v>
      </x:c>
      <x:c r="V71" s="23" t="n">
        <x:v>20</x:v>
      </x:c>
      <x:c r="W71" s="64" t="n">
        <x:v>100</x:v>
      </x:c>
      <x:c r="X71" s="23" t="n">
        <x:v>1</x:v>
      </x:c>
      <x:c r="Y71" s="23" t="n">
        <x:v>1</x:v>
      </x:c>
      <x:c r="Z71" s="23" t="n">
        <x:v>0</x:v>
      </x:c>
      <x:c r="AA71" s="23" t="n">
        <x:v>0</x:v>
      </x:c>
      <x:c r="AB71" s="23" t="n">
        <x:v>0</x:v>
      </x:c>
      <x:c r="AC71" s="23" t="n">
        <x:v>4</x:v>
      </x:c>
      <x:c r="AD71" s="67" t="n">
        <x:v>65042</x:v>
      </x:c>
      <x:c r="AE71" s="23" t="str">
        <x:v>runs/run_99cJxBllXGjBzo7B</x:v>
      </x:c>
    </x:row>
    <x:row r="72">
      <x:c r="A72" s="23" t="str">
        <x:v>run_6caACw1IUkzpoaOE</x:v>
      </x:c>
      <x:c r="B72" s="23" t="str">
        <x:v>noip2016_senior_problem</x:v>
      </x:c>
      <x:c r="C72" s="23" t="str">
        <x:v>组合数问题</x:v>
      </x:c>
      <x:c r="D72" s="23" t="str">
        <x:v>noip2016_senior</x:v>
      </x:c>
      <x:c r="E72" s="23" t="str">
        <x:v>普及</x:v>
      </x:c>
      <x:c r="F72" s="23" t="str">
        <x:v>run_result</x:v>
      </x:c>
      <x:c r="G72" s="23" t="str">
        <x:v>collection-20260910T103603Z</x:v>
      </x:c>
      <x:c r="H72" s="61" t="n">
        <x:v>46275.71356674768</x:v>
      </x:c>
      <x:c r="I72" s="23" t="str">
        <x:v>COMPLETED</x:v>
      </x:c>
      <x:c r="J72" s="23" t="str">
        <x:v>AC</x:v>
      </x:c>
      <x:c r="K72" s="23" t="n">
        <x:v>20</x:v>
      </x:c>
      <x:c r="L72" s="23" t="n">
        <x:v>20</x:v>
      </x:c>
      <x:c r="M72" s="64" t="n">
        <x:v>100</x:v>
      </x:c>
      <x:c r="N72" s="23" t="n">
        <x:v>1</x:v>
      </x:c>
      <x:c r="O72" s="23" t="n">
        <x:v>1</x:v>
      </x:c>
      <x:c r="P72" s="23" t="n">
        <x:v>1</x:v>
      </x:c>
      <x:c r="Q72" s="23" t="n">
        <x:v>0</x:v>
      </x:c>
      <x:c r="R72" s="23" t="str">
        <x:v>UNRESOLVED</x:v>
      </x:c>
      <x:c r="S72" s="23"/>
      <x:c r="T72" s="23" t="str">
        <x:v>AC</x:v>
      </x:c>
      <x:c r="U72" s="23" t="n">
        <x:v>20</x:v>
      </x:c>
      <x:c r="V72" s="23" t="n">
        <x:v>20</x:v>
      </x:c>
      <x:c r="W72" s="64" t="n">
        <x:v>100</x:v>
      </x:c>
      <x:c r="X72" s="23" t="n">
        <x:v>1</x:v>
      </x:c>
      <x:c r="Y72" s="23" t="n">
        <x:v>1</x:v>
      </x:c>
      <x:c r="Z72" s="23" t="n">
        <x:v>0</x:v>
      </x:c>
      <x:c r="AA72" s="23" t="n">
        <x:v>0</x:v>
      </x:c>
      <x:c r="AB72" s="23" t="n">
        <x:v>0</x:v>
      </x:c>
      <x:c r="AC72" s="23" t="n">
        <x:v>4</x:v>
      </x:c>
      <x:c r="AD72" s="67" t="n">
        <x:v>40343</x:v>
      </x:c>
      <x:c r="AE72" s="23" t="str">
        <x:v>runs/run_6caACw1IUkzpoaOE</x:v>
      </x:c>
    </x:row>
    <x:row r="73">
      <x:c r="A73" s="23" t="str">
        <x:v>run_VnsdgSApQFhN5aR9</x:v>
      </x:c>
      <x:c r="B73" s="23" t="str">
        <x:v>noip2016_senior_toy</x:v>
      </x:c>
      <x:c r="C73" s="23" t="str">
        <x:v>玩具谜题</x:v>
      </x:c>
      <x:c r="D73" s="23" t="str">
        <x:v>noip2016_senior</x:v>
      </x:c>
      <x:c r="E73" s="23" t="str">
        <x:v>普及−</x:v>
      </x:c>
      <x:c r="F73" s="23" t="str">
        <x:v>run_result</x:v>
      </x:c>
      <x:c r="G73" s="23" t="str">
        <x:v>collection-20260910T103603Z</x:v>
      </x:c>
      <x:c r="H73" s="61" t="n">
        <x:v>46275.7161630787</x:v>
      </x:c>
      <x:c r="I73" s="23" t="str">
        <x:v>COMPLETED</x:v>
      </x:c>
      <x:c r="J73" s="23" t="str">
        <x:v>AC</x:v>
      </x:c>
      <x:c r="K73" s="23" t="n">
        <x:v>20</x:v>
      </x:c>
      <x:c r="L73" s="23" t="n">
        <x:v>20</x:v>
      </x:c>
      <x:c r="M73" s="64" t="n">
        <x:v>100</x:v>
      </x:c>
      <x:c r="N73" s="23" t="n">
        <x:v>1</x:v>
      </x:c>
      <x:c r="O73" s="23" t="n">
        <x:v>1</x:v>
      </x:c>
      <x:c r="P73" s="23" t="n">
        <x:v>1</x:v>
      </x:c>
      <x:c r="Q73" s="23" t="n">
        <x:v>0</x:v>
      </x:c>
      <x:c r="R73" s="23" t="str">
        <x:v>UNRESOLVED</x:v>
      </x:c>
      <x:c r="S73" s="23"/>
      <x:c r="T73" s="23" t="str">
        <x:v>AC</x:v>
      </x:c>
      <x:c r="U73" s="23" t="n">
        <x:v>20</x:v>
      </x:c>
      <x:c r="V73" s="23" t="n">
        <x:v>20</x:v>
      </x:c>
      <x:c r="W73" s="64" t="n">
        <x:v>100</x:v>
      </x:c>
      <x:c r="X73" s="23" t="n">
        <x:v>1</x:v>
      </x:c>
      <x:c r="Y73" s="23" t="n">
        <x:v>1</x:v>
      </x:c>
      <x:c r="Z73" s="23" t="n">
        <x:v>0</x:v>
      </x:c>
      <x:c r="AA73" s="23" t="n">
        <x:v>0</x:v>
      </x:c>
      <x:c r="AB73" s="23" t="n">
        <x:v>0</x:v>
      </x:c>
      <x:c r="AC73" s="23" t="n">
        <x:v>4</x:v>
      </x:c>
      <x:c r="AD73" s="67" t="n">
        <x:v>39767</x:v>
      </x:c>
      <x:c r="AE73" s="23" t="str">
        <x:v>runs/run_VnsdgSApQFhN5aR9</x:v>
      </x:c>
    </x:row>
    <x:row r="74">
      <x:c r="A74" s="23" t="str">
        <x:v>run_Y7Ys6c6YegTHoMdR</x:v>
      </x:c>
      <x:c r="B74" s="23" t="str">
        <x:v>noip2020_senior_string</x:v>
      </x:c>
      <x:c r="C74" s="23" t="str">
        <x:v>字符串匹配</x:v>
      </x:c>
      <x:c r="D74" s="23" t="str">
        <x:v>noip2020_senior</x:v>
      </x:c>
      <x:c r="E74" s="23" t="str">
        <x:v>提高+/省选−</x:v>
      </x:c>
      <x:c r="F74" s="23" t="str">
        <x:v>run_result</x:v>
      </x:c>
      <x:c r="G74" s="23" t="str">
        <x:v>collection-20260910T103603Z</x:v>
      </x:c>
      <x:c r="H74" s="61" t="n">
        <x:v>46275.71809255787</x:v>
      </x:c>
      <x:c r="I74" s="23" t="str">
        <x:v>COMPLETED</x:v>
      </x:c>
      <x:c r="J74" s="23" t="str">
        <x:v>AC</x:v>
      </x:c>
      <x:c r="K74" s="23" t="n">
        <x:v>25</x:v>
      </x:c>
      <x:c r="L74" s="23" t="n">
        <x:v>25</x:v>
      </x:c>
      <x:c r="M74" s="64" t="n">
        <x:v>100</x:v>
      </x:c>
      <x:c r="N74" s="23" t="n">
        <x:v>1</x:v>
      </x:c>
      <x:c r="O74" s="23" t="n">
        <x:v>1</x:v>
      </x:c>
      <x:c r="P74" s="23" t="n">
        <x:v>1</x:v>
      </x:c>
      <x:c r="Q74" s="23" t="n">
        <x:v>0</x:v>
      </x:c>
      <x:c r="R74" s="23" t="str">
        <x:v>UNRESOLVED</x:v>
      </x:c>
      <x:c r="S74" s="23"/>
      <x:c r="T74" s="23" t="str">
        <x:v>AC</x:v>
      </x:c>
      <x:c r="U74" s="23" t="n">
        <x:v>25</x:v>
      </x:c>
      <x:c r="V74" s="23" t="n">
        <x:v>25</x:v>
      </x:c>
      <x:c r="W74" s="64" t="n">
        <x:v>100</x:v>
      </x:c>
      <x:c r="X74" s="23" t="n">
        <x:v>1</x:v>
      </x:c>
      <x:c r="Y74" s="23" t="n">
        <x:v>0</x:v>
      </x:c>
      <x:c r="Z74" s="23" t="n">
        <x:v>1</x:v>
      </x:c>
      <x:c r="AA74" s="23" t="n">
        <x:v>1</x:v>
      </x:c>
      <x:c r="AB74" s="23" t="n">
        <x:v>1</x:v>
      </x:c>
      <x:c r="AC74" s="23" t="n">
        <x:v>7</x:v>
      </x:c>
      <x:c r="AD74" s="67" t="n">
        <x:v>130858</x:v>
      </x:c>
      <x:c r="AE74" s="23" t="str">
        <x:v>runs/run_Y7Ys6c6YegTHoMdR</x:v>
      </x:c>
    </x:row>
    <x:row r="75">
      <x:c r="A75" s="23" t="str">
        <x:v>run_8QdbRtXFl1h6BVSp</x:v>
      </x:c>
      <x:c r="B75" s="23" t="str">
        <x:v>noip2020_senior_water</x:v>
      </x:c>
      <x:c r="C75" s="23" t="str">
        <x:v>排水系统</x:v>
      </x:c>
      <x:c r="D75" s="23" t="str">
        <x:v>noip2020_senior</x:v>
      </x:c>
      <x:c r="E75" s="23" t="str">
        <x:v>普及</x:v>
      </x:c>
      <x:c r="F75" s="23" t="str">
        <x:v>run_result</x:v>
      </x:c>
      <x:c r="G75" s="23" t="str">
        <x:v>collection-20260910T103603Z</x:v>
      </x:c>
      <x:c r="H75" s="61" t="n">
        <x:v>46275.72552693287</x:v>
      </x:c>
      <x:c r="I75" s="23" t="str">
        <x:v>COMPLETED</x:v>
      </x:c>
      <x:c r="J75" s="23" t="str">
        <x:v>AC</x:v>
      </x:c>
      <x:c r="K75" s="23" t="n">
        <x:v>10</x:v>
      </x:c>
      <x:c r="L75" s="23" t="n">
        <x:v>10</x:v>
      </x:c>
      <x:c r="M75" s="64" t="n">
        <x:v>100</x:v>
      </x:c>
      <x:c r="N75" s="23" t="n">
        <x:v>1</x:v>
      </x:c>
      <x:c r="O75" s="23" t="n">
        <x:v>1</x:v>
      </x:c>
      <x:c r="P75" s="23" t="n">
        <x:v>1</x:v>
      </x:c>
      <x:c r="Q75" s="23" t="n">
        <x:v>0</x:v>
      </x:c>
      <x:c r="R75" s="23" t="str">
        <x:v>UNRESOLVED</x:v>
      </x:c>
      <x:c r="S75" s="23"/>
      <x:c r="T75" s="23" t="str">
        <x:v>AC</x:v>
      </x:c>
      <x:c r="U75" s="23" t="n">
        <x:v>10</x:v>
      </x:c>
      <x:c r="V75" s="23" t="n">
        <x:v>10</x:v>
      </x:c>
      <x:c r="W75" s="64" t="n">
        <x:v>100</x:v>
      </x:c>
      <x:c r="X75" s="23" t="n">
        <x:v>1</x:v>
      </x:c>
      <x:c r="Y75" s="23" t="n">
        <x:v>1</x:v>
      </x:c>
      <x:c r="Z75" s="23" t="n">
        <x:v>0</x:v>
      </x:c>
      <x:c r="AA75" s="23" t="n">
        <x:v>0</x:v>
      </x:c>
      <x:c r="AB75" s="23" t="n">
        <x:v>0</x:v>
      </x:c>
      <x:c r="AC75" s="23" t="n">
        <x:v>4</x:v>
      </x:c>
      <x:c r="AD75" s="67" t="n">
        <x:v>55032</x:v>
      </x:c>
      <x:c r="AE75" s="23" t="str">
        <x:v>runs/run_8QdbRtXFl1h6BVSp</x:v>
      </x:c>
    </x:row>
    <x:row r="76">
      <x:c r="A76" s="23" t="str">
        <x:v>run_D72h4ekEJFjHQTp</x:v>
      </x:c>
      <x:c r="B76" s="23" t="str">
        <x:v>noip2021_senior_number</x:v>
      </x:c>
      <x:c r="C76" s="23" t="str">
        <x:v>报数</x:v>
      </x:c>
      <x:c r="D76" s="23" t="str">
        <x:v>noip2021_senior</x:v>
      </x:c>
      <x:c r="E76" s="23" t="str">
        <x:v>普及</x:v>
      </x:c>
      <x:c r="F76" s="23" t="str">
        <x:v>run_result</x:v>
      </x:c>
      <x:c r="G76" s="23" t="str">
        <x:v>collection-20260910T103603Z</x:v>
      </x:c>
      <x:c r="H76" s="61" t="n">
        <x:v>46275.725769641205</x:v>
      </x:c>
      <x:c r="I76" s="23" t="str">
        <x:v>COMPLETED</x:v>
      </x:c>
      <x:c r="J76" s="23" t="str">
        <x:v>AC</x:v>
      </x:c>
      <x:c r="K76" s="23" t="n">
        <x:v>10</x:v>
      </x:c>
      <x:c r="L76" s="23" t="n">
        <x:v>10</x:v>
      </x:c>
      <x:c r="M76" s="64" t="n">
        <x:v>100</x:v>
      </x:c>
      <x:c r="N76" s="23" t="n">
        <x:v>1</x:v>
      </x:c>
      <x:c r="O76" s="23" t="n">
        <x:v>1</x:v>
      </x:c>
      <x:c r="P76" s="23" t="n">
        <x:v>1</x:v>
      </x:c>
      <x:c r="Q76" s="23" t="n">
        <x:v>0</x:v>
      </x:c>
      <x:c r="R76" s="23" t="str">
        <x:v>UNRESOLVED</x:v>
      </x:c>
      <x:c r="S76" s="23"/>
      <x:c r="T76" s="23" t="str">
        <x:v>AC</x:v>
      </x:c>
      <x:c r="U76" s="23" t="n">
        <x:v>10</x:v>
      </x:c>
      <x:c r="V76" s="23" t="n">
        <x:v>10</x:v>
      </x:c>
      <x:c r="W76" s="64" t="n">
        <x:v>100</x:v>
      </x:c>
      <x:c r="X76" s="23" t="n">
        <x:v>1</x:v>
      </x:c>
      <x:c r="Y76" s="23" t="n">
        <x:v>1</x:v>
      </x:c>
      <x:c r="Z76" s="23" t="n">
        <x:v>0</x:v>
      </x:c>
      <x:c r="AA76" s="23" t="n">
        <x:v>0</x:v>
      </x:c>
      <x:c r="AB76" s="23" t="n">
        <x:v>0</x:v>
      </x:c>
      <x:c r="AC76" s="23" t="n">
        <x:v>4</x:v>
      </x:c>
      <x:c r="AD76" s="67" t="n">
        <x:v>63825</x:v>
      </x:c>
      <x:c r="AE76" s="23" t="str">
        <x:v>runs/run_D72h4ekEJFjHQTp</x:v>
      </x:c>
    </x:row>
    <x:row r="77">
      <x:c r="A77" s="23" t="str">
        <x:v>run_o8A7R6ftssPziSL</x:v>
      </x:c>
      <x:c r="B77" s="23" t="str">
        <x:v>noip2021_senior_sequence</x:v>
      </x:c>
      <x:c r="C77" s="23" t="str">
        <x:v>数列</x:v>
      </x:c>
      <x:c r="D77" s="23" t="str">
        <x:v>noip2021_senior</x:v>
      </x:c>
      <x:c r="E77" s="23" t="str">
        <x:v>提高+/省选−</x:v>
      </x:c>
      <x:c r="F77" s="23" t="str">
        <x:v>run_result</x:v>
      </x:c>
      <x:c r="G77" s="23" t="str">
        <x:v>collection-20260910T103603Z</x:v>
      </x:c>
      <x:c r="H77" s="61" t="n">
        <x:v>46275.72844931713</x:v>
      </x:c>
      <x:c r="I77" s="23" t="str">
        <x:v>COMPLETED</x:v>
      </x:c>
      <x:c r="J77" s="23" t="str">
        <x:v>AC</x:v>
      </x:c>
      <x:c r="K77" s="23" t="n">
        <x:v>20</x:v>
      </x:c>
      <x:c r="L77" s="23" t="n">
        <x:v>20</x:v>
      </x:c>
      <x:c r="M77" s="64" t="n">
        <x:v>100</x:v>
      </x:c>
      <x:c r="N77" s="23" t="n">
        <x:v>1</x:v>
      </x:c>
      <x:c r="O77" s="23" t="n">
        <x:v>1</x:v>
      </x:c>
      <x:c r="P77" s="23" t="n">
        <x:v>1</x:v>
      </x:c>
      <x:c r="Q77" s="23" t="n">
        <x:v>0</x:v>
      </x:c>
      <x:c r="R77" s="23" t="str">
        <x:v>UNRESOLVED</x:v>
      </x:c>
      <x:c r="S77" s="23"/>
      <x:c r="T77" s="23" t="str">
        <x:v>AC</x:v>
      </x:c>
      <x:c r="U77" s="23" t="n">
        <x:v>20</x:v>
      </x:c>
      <x:c r="V77" s="23" t="n">
        <x:v>20</x:v>
      </x:c>
      <x:c r="W77" s="64" t="n">
        <x:v>100</x:v>
      </x:c>
      <x:c r="X77" s="23" t="n">
        <x:v>1</x:v>
      </x:c>
      <x:c r="Y77" s="23" t="n">
        <x:v>1</x:v>
      </x:c>
      <x:c r="Z77" s="23" t="n">
        <x:v>0</x:v>
      </x:c>
      <x:c r="AA77" s="23" t="n">
        <x:v>0</x:v>
      </x:c>
      <x:c r="AB77" s="23" t="n">
        <x:v>0</x:v>
      </x:c>
      <x:c r="AC77" s="23" t="n">
        <x:v>4</x:v>
      </x:c>
      <x:c r="AD77" s="67" t="n">
        <x:v>52748</x:v>
      </x:c>
      <x:c r="AE77" s="23" t="str">
        <x:v>runs/run_o8A7R6ftssPziSL</x:v>
      </x:c>
    </x:row>
    <x:row r="78">
      <x:c r="A78" s="23" t="str">
        <x:v>run_NTDFmqoRKKpYRFY2</x:v>
      </x:c>
      <x:c r="B78" s="23" t="str">
        <x:v>noip2022_senior_barrack</x:v>
      </x:c>
      <x:c r="C78" s="23" t="str">
        <x:v>建造军营</x:v>
      </x:c>
      <x:c r="D78" s="23" t="str">
        <x:v>noip2022_senior</x:v>
      </x:c>
      <x:c r="E78" s="23" t="str">
        <x:v>提高+/省选−</x:v>
      </x:c>
      <x:c r="F78" s="23" t="str">
        <x:v>run_result</x:v>
      </x:c>
      <x:c r="G78" s="23" t="str">
        <x:v>collection-20260910T103603Z</x:v>
      </x:c>
      <x:c r="H78" s="61" t="n">
        <x:v>46275.72972993056</x:v>
      </x:c>
      <x:c r="I78" s="23" t="str">
        <x:v>COMPLETED</x:v>
      </x:c>
      <x:c r="J78" s="23" t="str">
        <x:v>AC</x:v>
      </x:c>
      <x:c r="K78" s="23" t="n">
        <x:v>20</x:v>
      </x:c>
      <x:c r="L78" s="23" t="n">
        <x:v>20</x:v>
      </x:c>
      <x:c r="M78" s="64" t="n">
        <x:v>100</x:v>
      </x:c>
      <x:c r="N78" s="23" t="n">
        <x:v>1</x:v>
      </x:c>
      <x:c r="O78" s="23" t="n">
        <x:v>1</x:v>
      </x:c>
      <x:c r="P78" s="23" t="n">
        <x:v>1</x:v>
      </x:c>
      <x:c r="Q78" s="23" t="n">
        <x:v>0</x:v>
      </x:c>
      <x:c r="R78" s="23" t="str">
        <x:v>UNRESOLVED</x:v>
      </x:c>
      <x:c r="S78" s="23"/>
      <x:c r="T78" s="23" t="str">
        <x:v>WA</x:v>
      </x:c>
      <x:c r="U78" s="23" t="n">
        <x:v>0</x:v>
      </x:c>
      <x:c r="V78" s="23" t="n">
        <x:v>20</x:v>
      </x:c>
      <x:c r="W78" s="64" t="n">
        <x:v>0</x:v>
      </x:c>
      <x:c r="X78" s="23" t="n">
        <x:v>0</x:v>
      </x:c>
      <x:c r="Y78" s="23" t="n">
        <x:v>0</x:v>
      </x:c>
      <x:c r="Z78" s="23" t="n">
        <x:v>3</x:v>
      </x:c>
      <x:c r="AA78" s="23" t="n">
        <x:v>3</x:v>
      </x:c>
      <x:c r="AB78" s="23" t="n">
        <x:v>1</x:v>
      </x:c>
      <x:c r="AC78" s="23" t="n">
        <x:v>16</x:v>
      </x:c>
      <x:c r="AD78" s="67" t="n">
        <x:v>462127</x:v>
      </x:c>
      <x:c r="AE78" s="23" t="str">
        <x:v>runs/run_NTDFmqoRKKpYRFY2</x:v>
      </x:c>
    </x:row>
    <x:row r="79">
      <x:c r="A79" s="23" t="str">
        <x:v>run_ftIlMKTJzO6eGym</x:v>
      </x:c>
      <x:c r="B79" s="23" t="str">
        <x:v>noip2022_senior_plant</x:v>
      </x:c>
      <x:c r="C79" s="23" t="str">
        <x:v>种花</x:v>
      </x:c>
      <x:c r="D79" s="23" t="str">
        <x:v>noip2022_senior</x:v>
      </x:c>
      <x:c r="E79" s="23" t="str">
        <x:v>普及+/提高−</x:v>
      </x:c>
      <x:c r="F79" s="23" t="str">
        <x:v>run_result</x:v>
      </x:c>
      <x:c r="G79" s="23" t="str">
        <x:v>collection-20260910T103603Z</x:v>
      </x:c>
      <x:c r="H79" s="61" t="n">
        <x:v>46275.73154368056</x:v>
      </x:c>
      <x:c r="I79" s="23" t="str">
        <x:v>COMPLETED</x:v>
      </x:c>
      <x:c r="J79" s="23" t="str">
        <x:v>AC</x:v>
      </x:c>
      <x:c r="K79" s="23" t="n">
        <x:v>16</x:v>
      </x:c>
      <x:c r="L79" s="23" t="n">
        <x:v>16</x:v>
      </x:c>
      <x:c r="M79" s="64" t="n">
        <x:v>100</x:v>
      </x:c>
      <x:c r="N79" s="23" t="n">
        <x:v>1</x:v>
      </x:c>
      <x:c r="O79" s="23" t="n">
        <x:v>1</x:v>
      </x:c>
      <x:c r="P79" s="23" t="n">
        <x:v>1</x:v>
      </x:c>
      <x:c r="Q79" s="23" t="n">
        <x:v>0</x:v>
      </x:c>
      <x:c r="R79" s="23" t="str">
        <x:v>UNRESOLVED</x:v>
      </x:c>
      <x:c r="S79" s="23"/>
      <x:c r="T79" s="23" t="str">
        <x:v>AC</x:v>
      </x:c>
      <x:c r="U79" s="23" t="n">
        <x:v>16</x:v>
      </x:c>
      <x:c r="V79" s="23" t="n">
        <x:v>16</x:v>
      </x:c>
      <x:c r="W79" s="64" t="n">
        <x:v>100</x:v>
      </x:c>
      <x:c r="X79" s="23" t="n">
        <x:v>1</x:v>
      </x:c>
      <x:c r="Y79" s="23" t="n">
        <x:v>1</x:v>
      </x:c>
      <x:c r="Z79" s="23" t="n">
        <x:v>0</x:v>
      </x:c>
      <x:c r="AA79" s="23" t="n">
        <x:v>0</x:v>
      </x:c>
      <x:c r="AB79" s="23" t="n">
        <x:v>0</x:v>
      </x:c>
      <x:c r="AC79" s="23" t="n">
        <x:v>4</x:v>
      </x:c>
      <x:c r="AD79" s="67" t="n">
        <x:v>67792</x:v>
      </x:c>
      <x:c r="AE79" s="23" t="str">
        <x:v>runs/run_ftIlMKTJzO6eGym</x:v>
      </x:c>
    </x:row>
    <x:row r="80">
      <x:c r="A80" s="23" t="str">
        <x:v>run_6lM8esiB5J126bUv</x:v>
      </x:c>
      <x:c r="B80" s="23" t="str">
        <x:v>noip2021_senior_chess</x:v>
      </x:c>
      <x:c r="C80" s="23" t="str">
        <x:v>棋局</x:v>
      </x:c>
      <x:c r="D80" s="23" t="str">
        <x:v>noip2021_senior</x:v>
      </x:c>
      <x:c r="E80" s="23" t="str">
        <x:v>NOI/NOI+/CTS</x:v>
      </x:c>
      <x:c r="F80" s="23" t="str">
        <x:v>run_result</x:v>
      </x:c>
      <x:c r="G80" s="23" t="str">
        <x:v>collection-20260911T013612Z</x:v>
      </x:c>
      <x:c r="H80" s="61" t="n">
        <x:v>46276.06681575232</x:v>
      </x:c>
      <x:c r="I80" s="23" t="str">
        <x:v>STALLED</x:v>
      </x:c>
      <x:c r="J80" s="23" t="str">
        <x:v>TLE</x:v>
      </x:c>
      <x:c r="K80" s="23" t="n">
        <x:v>5</x:v>
      </x:c>
      <x:c r="L80" s="23" t="n">
        <x:v>25</x:v>
      </x:c>
      <x:c r="M80" s="64" t="n">
        <x:v>20</x:v>
      </x:c>
      <x:c r="N80" s="23" t="n">
        <x:v>0</x:v>
      </x:c>
      <x:c r="O80" s="23" t="n">
        <x:v>0</x:v>
      </x:c>
      <x:c r="P80" s="23" t="n">
        <x:v>0</x:v>
      </x:c>
      <x:c r="Q80" s="23" t="n">
        <x:v>0</x:v>
      </x:c>
      <x:c r="R80" s="23" t="str">
        <x:v>COMPLEXITY_TLE</x:v>
      </x:c>
      <x:c r="S80" s="23"/>
      <x:c r="T80" s="23"/>
      <x:c r="U80" s="23"/>
      <x:c r="V80" s="23"/>
      <x:c r="W80" s="64"/>
      <x:c r="X80" s="23" t="n">
        <x:v>0</x:v>
      </x:c>
      <x:c r="Y80" s="23" t="n">
        <x:v>0</x:v>
      </x:c>
      <x:c r="Z80" s="23" t="n">
        <x:v>5</x:v>
      </x:c>
      <x:c r="AA80" s="23" t="n">
        <x:v>5</x:v>
      </x:c>
      <x:c r="AB80" s="23" t="n">
        <x:v>0</x:v>
      </x:c>
      <x:c r="AC80" s="23" t="n">
        <x:v>11</x:v>
      </x:c>
      <x:c r="AD80" s="67" t="n">
        <x:v>337081</x:v>
      </x:c>
      <x:c r="AE80" s="23" t="str">
        <x:v>runs/run_6lM8esiB5J126bUv</x:v>
      </x:c>
    </x:row>
    <x:row r="81">
      <x:c r="A81" s="23" t="str">
        <x:v>run_OVXoF70wwqzDYVk</x:v>
      </x:c>
      <x:c r="B81" s="23" t="str">
        <x:v>csps2020_senior_zoo</x:v>
      </x:c>
      <x:c r="C81" s="23" t="str">
        <x:v>动物园</x:v>
      </x:c>
      <x:c r="D81" s="23" t="str">
        <x:v>csps2020_senior</x:v>
      </x:c>
      <x:c r="E81" s="23" t="str">
        <x:v>普及</x:v>
      </x:c>
      <x:c r="F81" s="23" t="str">
        <x:v>run_result</x:v>
      </x:c>
      <x:c r="G81" s="23" t="str">
        <x:v>collection-20260911T013612Z</x:v>
      </x:c>
      <x:c r="H81" s="61" t="n">
        <x:v>46276.06681600695</x:v>
      </x:c>
      <x:c r="I81" s="23" t="str">
        <x:v>COMPLETED</x:v>
      </x:c>
      <x:c r="J81" s="23" t="str">
        <x:v>AC</x:v>
      </x:c>
      <x:c r="K81" s="23" t="n">
        <x:v>20</x:v>
      </x:c>
      <x:c r="L81" s="23" t="n">
        <x:v>20</x:v>
      </x:c>
      <x:c r="M81" s="64" t="n">
        <x:v>100</x:v>
      </x:c>
      <x:c r="N81" s="23" t="n">
        <x:v>1</x:v>
      </x:c>
      <x:c r="O81" s="23" t="n">
        <x:v>1</x:v>
      </x:c>
      <x:c r="P81" s="23" t="n">
        <x:v>1</x:v>
      </x:c>
      <x:c r="Q81" s="23" t="n">
        <x:v>0</x:v>
      </x:c>
      <x:c r="R81" s="23" t="str">
        <x:v>UNRESOLVED</x:v>
      </x:c>
      <x:c r="S81" s="23"/>
      <x:c r="T81" s="23" t="str">
        <x:v>AC</x:v>
      </x:c>
      <x:c r="U81" s="23" t="n">
        <x:v>20</x:v>
      </x:c>
      <x:c r="V81" s="23" t="n">
        <x:v>20</x:v>
      </x:c>
      <x:c r="W81" s="64" t="n">
        <x:v>100</x:v>
      </x:c>
      <x:c r="X81" s="23" t="n">
        <x:v>1</x:v>
      </x:c>
      <x:c r="Y81" s="23" t="n">
        <x:v>1</x:v>
      </x:c>
      <x:c r="Z81" s="23" t="n">
        <x:v>0</x:v>
      </x:c>
      <x:c r="AA81" s="23" t="n">
        <x:v>0</x:v>
      </x:c>
      <x:c r="AB81" s="23" t="n">
        <x:v>0</x:v>
      </x:c>
      <x:c r="AC81" s="23" t="n">
        <x:v>4</x:v>
      </x:c>
      <x:c r="AD81" s="67" t="n">
        <x:v>49200</x:v>
      </x:c>
      <x:c r="AE81" s="23" t="str">
        <x:v>runs/run_OVXoF70wwqzDYVk</x:v>
      </x:c>
    </x:row>
    <x:row r="82">
      <x:c r="A82" s="23" t="str">
        <x:v>run_m4f2CLks1kqFAPhO</x:v>
      </x:c>
      <x:c r="B82" s="23" t="str">
        <x:v>csps2021_senior_airport</x:v>
      </x:c>
      <x:c r="C82" s="23" t="str">
        <x:v>廊桥分配</x:v>
      </x:c>
      <x:c r="D82" s="23" t="str">
        <x:v>csps2021_senior</x:v>
      </x:c>
      <x:c r="E82" s="23" t="str">
        <x:v>普及+/提高−</x:v>
      </x:c>
      <x:c r="F82" s="23" t="str">
        <x:v>run_result</x:v>
      </x:c>
      <x:c r="G82" s="23" t="str">
        <x:v>collection-20260911T013612Z</x:v>
      </x:c>
      <x:c r="H82" s="61" t="n">
        <x:v>46276.06954571759</x:v>
      </x:c>
      <x:c r="I82" s="23" t="str">
        <x:v>COMPLETED</x:v>
      </x:c>
      <x:c r="J82" s="23" t="str">
        <x:v>AC</x:v>
      </x:c>
      <x:c r="K82" s="23" t="n">
        <x:v>20</x:v>
      </x:c>
      <x:c r="L82" s="23" t="n">
        <x:v>20</x:v>
      </x:c>
      <x:c r="M82" s="64" t="n">
        <x:v>100</x:v>
      </x:c>
      <x:c r="N82" s="23" t="n">
        <x:v>1</x:v>
      </x:c>
      <x:c r="O82" s="23" t="n">
        <x:v>1</x:v>
      </x:c>
      <x:c r="P82" s="23" t="n">
        <x:v>1</x:v>
      </x:c>
      <x:c r="Q82" s="23" t="n">
        <x:v>0</x:v>
      </x:c>
      <x:c r="R82" s="23" t="str">
        <x:v>UNRESOLVED</x:v>
      </x:c>
      <x:c r="S82" s="23"/>
      <x:c r="T82" s="23" t="str">
        <x:v>WA</x:v>
      </x:c>
      <x:c r="U82" s="23" t="n">
        <x:v>5</x:v>
      </x:c>
      <x:c r="V82" s="23" t="n">
        <x:v>20</x:v>
      </x:c>
      <x:c r="W82" s="64" t="n">
        <x:v>25</x:v>
      </x:c>
      <x:c r="X82" s="23" t="n">
        <x:v>0</x:v>
      </x:c>
      <x:c r="Y82" s="23" t="n">
        <x:v>0</x:v>
      </x:c>
      <x:c r="Z82" s="23" t="n">
        <x:v>1</x:v>
      </x:c>
      <x:c r="AA82" s="23" t="n">
        <x:v>1</x:v>
      </x:c>
      <x:c r="AB82" s="23" t="n">
        <x:v>1</x:v>
      </x:c>
      <x:c r="AC82" s="23" t="n">
        <x:v>9</x:v>
      </x:c>
      <x:c r="AD82" s="67" t="n">
        <x:v>128424</x:v>
      </x:c>
      <x:c r="AE82" s="23" t="str">
        <x:v>runs/run_m4f2CLks1kqFAPhO</x:v>
      </x:c>
    </x:row>
    <x:row r="83">
      <x:c r="A83" s="23" t="str">
        <x:v>run_XxizWkxoD2IJCvM</x:v>
      </x:c>
      <x:c r="B83" s="23" t="str">
        <x:v>csps2021_senior_bracket</x:v>
      </x:c>
      <x:c r="C83" s="23" t="str">
        <x:v>括号序列</x:v>
      </x:c>
      <x:c r="D83" s="23" t="str">
        <x:v>csps2021_senior</x:v>
      </x:c>
      <x:c r="E83" s="23" t="str">
        <x:v>提高+/省选−</x:v>
      </x:c>
      <x:c r="F83" s="23" t="str">
        <x:v>run_result</x:v>
      </x:c>
      <x:c r="G83" s="23" t="str">
        <x:v>collection-20260911T013612Z</x:v>
      </x:c>
      <x:c r="H83" s="61" t="n">
        <x:v>46276.07725091435</x:v>
      </x:c>
      <x:c r="I83" s="23" t="str">
        <x:v>COMPLETED</x:v>
      </x:c>
      <x:c r="J83" s="23" t="str">
        <x:v>AC</x:v>
      </x:c>
      <x:c r="K83" s="23" t="n">
        <x:v>20</x:v>
      </x:c>
      <x:c r="L83" s="23" t="n">
        <x:v>20</x:v>
      </x:c>
      <x:c r="M83" s="64" t="n">
        <x:v>100</x:v>
      </x:c>
      <x:c r="N83" s="23" t="n">
        <x:v>1</x:v>
      </x:c>
      <x:c r="O83" s="23" t="n">
        <x:v>1</x:v>
      </x:c>
      <x:c r="P83" s="23" t="n">
        <x:v>1</x:v>
      </x:c>
      <x:c r="Q83" s="23" t="n">
        <x:v>0</x:v>
      </x:c>
      <x:c r="R83" s="23" t="str">
        <x:v>UNRESOLVED</x:v>
      </x:c>
      <x:c r="S83" s="23"/>
      <x:c r="T83" s="23" t="str">
        <x:v>AC</x:v>
      </x:c>
      <x:c r="U83" s="23" t="n">
        <x:v>20</x:v>
      </x:c>
      <x:c r="V83" s="23" t="n">
        <x:v>20</x:v>
      </x:c>
      <x:c r="W83" s="64" t="n">
        <x:v>100</x:v>
      </x:c>
      <x:c r="X83" s="23" t="n">
        <x:v>1</x:v>
      </x:c>
      <x:c r="Y83" s="23" t="n">
        <x:v>1</x:v>
      </x:c>
      <x:c r="Z83" s="23" t="n">
        <x:v>0</x:v>
      </x:c>
      <x:c r="AA83" s="23" t="n">
        <x:v>0</x:v>
      </x:c>
      <x:c r="AB83" s="23" t="n">
        <x:v>0</x:v>
      </x:c>
      <x:c r="AC83" s="23" t="n">
        <x:v>5</x:v>
      </x:c>
      <x:c r="AD83" s="67" t="n">
        <x:v>76182</x:v>
      </x:c>
      <x:c r="AE83" s="23" t="str">
        <x:v>runs/run_XxizWkxoD2IJCvM</x:v>
      </x:c>
    </x:row>
    <x:row r="84">
      <x:c r="A84" s="23" t="str">
        <x:v>run_ogSNVlvSTdibvV9T</x:v>
      </x:c>
      <x:c r="B84" s="23" t="str">
        <x:v>csps2024_senior_detect</x:v>
      </x:c>
      <x:c r="C84" s="23" t="str">
        <x:v>超速检测</x:v>
      </x:c>
      <x:c r="D84" s="23" t="str">
        <x:v>csps2024_senior</x:v>
      </x:c>
      <x:c r="E84" s="23" t="str">
        <x:v>普及+/提高−</x:v>
      </x:c>
      <x:c r="F84" s="23" t="str">
        <x:v>run_result</x:v>
      </x:c>
      <x:c r="G84" s="23" t="str">
        <x:v>collection-20260911T013612Z</x:v>
      </x:c>
      <x:c r="H84" s="61" t="n">
        <x:v>46276.08240038194</x:v>
      </x:c>
      <x:c r="I84" s="23" t="str">
        <x:v>COMPLETED</x:v>
      </x:c>
      <x:c r="J84" s="23" t="str">
        <x:v>AC</x:v>
      </x:c>
      <x:c r="K84" s="23" t="n">
        <x:v>10</x:v>
      </x:c>
      <x:c r="L84" s="23" t="n">
        <x:v>10</x:v>
      </x:c>
      <x:c r="M84" s="64" t="n">
        <x:v>100</x:v>
      </x:c>
      <x:c r="N84" s="23" t="n">
        <x:v>1</x:v>
      </x:c>
      <x:c r="O84" s="23" t="n">
        <x:v>1</x:v>
      </x:c>
      <x:c r="P84" s="23" t="n">
        <x:v>1</x:v>
      </x:c>
      <x:c r="Q84" s="23" t="n">
        <x:v>0</x:v>
      </x:c>
      <x:c r="R84" s="23" t="str">
        <x:v>UNRESOLVED</x:v>
      </x:c>
      <x:c r="S84" s="23"/>
      <x:c r="T84" s="23" t="str">
        <x:v>WA</x:v>
      </x:c>
      <x:c r="U84" s="23" t="n">
        <x:v>4</x:v>
      </x:c>
      <x:c r="V84" s="23" t="n">
        <x:v>10</x:v>
      </x:c>
      <x:c r="W84" s="64" t="n">
        <x:v>40</x:v>
      </x:c>
      <x:c r="X84" s="23" t="n">
        <x:v>0</x:v>
      </x:c>
      <x:c r="Y84" s="23" t="n">
        <x:v>0</x:v>
      </x:c>
      <x:c r="Z84" s="23" t="n">
        <x:v>1</x:v>
      </x:c>
      <x:c r="AA84" s="23" t="n">
        <x:v>1</x:v>
      </x:c>
      <x:c r="AB84" s="23" t="n">
        <x:v>1</x:v>
      </x:c>
      <x:c r="AC84" s="23" t="n">
        <x:v>8</x:v>
      </x:c>
      <x:c r="AD84" s="67" t="n">
        <x:v>151402</x:v>
      </x:c>
      <x:c r="AE84" s="23" t="str">
        <x:v>runs/run_ogSNVlvSTdibvV9T</x:v>
      </x:c>
    </x:row>
    <x:row r="85">
      <x:c r="A85" s="23" t="str">
        <x:v>run_DkeCIJ2mX9q7Lnl</x:v>
      </x:c>
      <x:c r="B85" s="23" t="str">
        <x:v>csps2024_senior_duel</x:v>
      </x:c>
      <x:c r="C85" s="23" t="str">
        <x:v>决斗</x:v>
      </x:c>
      <x:c r="D85" s="23" t="str">
        <x:v>csps2024_senior</x:v>
      </x:c>
      <x:c r="E85" s="23" t="str">
        <x:v>普及−</x:v>
      </x:c>
      <x:c r="F85" s="23" t="str">
        <x:v>run_result</x:v>
      </x:c>
      <x:c r="G85" s="23" t="str">
        <x:v>collection-20260911T013612Z</x:v>
      </x:c>
      <x:c r="H85" s="61" t="n">
        <x:v>46276.09071671296</x:v>
      </x:c>
      <x:c r="I85" s="23" t="str">
        <x:v>COMPLETED</x:v>
      </x:c>
      <x:c r="J85" s="23" t="str">
        <x:v>AC</x:v>
      </x:c>
      <x:c r="K85" s="23" t="n">
        <x:v>20</x:v>
      </x:c>
      <x:c r="L85" s="23" t="n">
        <x:v>20</x:v>
      </x:c>
      <x:c r="M85" s="64" t="n">
        <x:v>100</x:v>
      </x:c>
      <x:c r="N85" s="23" t="n">
        <x:v>1</x:v>
      </x:c>
      <x:c r="O85" s="23" t="n">
        <x:v>1</x:v>
      </x:c>
      <x:c r="P85" s="23" t="n">
        <x:v>1</x:v>
      </x:c>
      <x:c r="Q85" s="23" t="n">
        <x:v>0</x:v>
      </x:c>
      <x:c r="R85" s="23" t="str">
        <x:v>UNRESOLVED</x:v>
      </x:c>
      <x:c r="S85" s="23"/>
      <x:c r="T85" s="23" t="str">
        <x:v>AC</x:v>
      </x:c>
      <x:c r="U85" s="23" t="n">
        <x:v>20</x:v>
      </x:c>
      <x:c r="V85" s="23" t="n">
        <x:v>20</x:v>
      </x:c>
      <x:c r="W85" s="64" t="n">
        <x:v>100</x:v>
      </x:c>
      <x:c r="X85" s="23" t="n">
        <x:v>1</x:v>
      </x:c>
      <x:c r="Y85" s="23" t="n">
        <x:v>1</x:v>
      </x:c>
      <x:c r="Z85" s="23" t="n">
        <x:v>0</x:v>
      </x:c>
      <x:c r="AA85" s="23" t="n">
        <x:v>0</x:v>
      </x:c>
      <x:c r="AB85" s="23" t="n">
        <x:v>0</x:v>
      </x:c>
      <x:c r="AC85" s="23" t="n">
        <x:v>4</x:v>
      </x:c>
      <x:c r="AD85" s="67" t="n">
        <x:v>59441</x:v>
      </x:c>
      <x:c r="AE85" s="23" t="str">
        <x:v>runs/run_DkeCIJ2mX9q7Lnl</x:v>
      </x:c>
    </x:row>
    <x:row r="86">
      <x:c r="A86" s="23" t="str">
        <x:v>run_pIvid6bvH23GS</x:v>
      </x:c>
      <x:c r="B86" s="23" t="str">
        <x:v>noip2015_senior_message</x:v>
      </x:c>
      <x:c r="C86" s="23" t="str">
        <x:v>信息传递</x:v>
      </x:c>
      <x:c r="D86" s="23" t="str">
        <x:v>noip2015_senior</x:v>
      </x:c>
      <x:c r="E86" s="23" t="str">
        <x:v>普及</x:v>
      </x:c>
      <x:c r="F86" s="23" t="str">
        <x:v>run_result</x:v>
      </x:c>
      <x:c r="G86" s="23" t="str">
        <x:v>collection-20260911T013612Z</x:v>
      </x:c>
      <x:c r="H86" s="61" t="n">
        <x:v>46276.09458111111</x:v>
      </x:c>
      <x:c r="I86" s="23" t="str">
        <x:v>COMPLETED</x:v>
      </x:c>
      <x:c r="J86" s="23" t="str">
        <x:v>AC</x:v>
      </x:c>
      <x:c r="K86" s="23" t="n">
        <x:v>10</x:v>
      </x:c>
      <x:c r="L86" s="23" t="n">
        <x:v>10</x:v>
      </x:c>
      <x:c r="M86" s="64" t="n">
        <x:v>100</x:v>
      </x:c>
      <x:c r="N86" s="23" t="n">
        <x:v>1</x:v>
      </x:c>
      <x:c r="O86" s="23" t="n">
        <x:v>1</x:v>
      </x:c>
      <x:c r="P86" s="23" t="n">
        <x:v>1</x:v>
      </x:c>
      <x:c r="Q86" s="23" t="n">
        <x:v>0</x:v>
      </x:c>
      <x:c r="R86" s="23" t="str">
        <x:v>UNRESOLVED</x:v>
      </x:c>
      <x:c r="S86" s="23"/>
      <x:c r="T86" s="23" t="str">
        <x:v>AC</x:v>
      </x:c>
      <x:c r="U86" s="23" t="n">
        <x:v>10</x:v>
      </x:c>
      <x:c r="V86" s="23" t="n">
        <x:v>10</x:v>
      </x:c>
      <x:c r="W86" s="64" t="n">
        <x:v>100</x:v>
      </x:c>
      <x:c r="X86" s="23" t="n">
        <x:v>1</x:v>
      </x:c>
      <x:c r="Y86" s="23" t="n">
        <x:v>1</x:v>
      </x:c>
      <x:c r="Z86" s="23" t="n">
        <x:v>0</x:v>
      </x:c>
      <x:c r="AA86" s="23" t="n">
        <x:v>0</x:v>
      </x:c>
      <x:c r="AB86" s="23" t="n">
        <x:v>0</x:v>
      </x:c>
      <x:c r="AC86" s="23" t="n">
        <x:v>4</x:v>
      </x:c>
      <x:c r="AD86" s="67" t="n">
        <x:v>38737</x:v>
      </x:c>
      <x:c r="AE86" s="23" t="str">
        <x:v>runs/run_pIvid6bvH23GS</x:v>
      </x:c>
    </x:row>
    <x:row r="87">
      <x:c r="A87" s="25" t="str">
        <x:v>run_vcHjYi4YneuEcoc</x:v>
      </x:c>
      <x:c r="B87" s="25" t="str">
        <x:v>noip2016_junior_date</x:v>
      </x:c>
      <x:c r="C87" s="25" t="str">
        <x:v>回文日期</x:v>
      </x:c>
      <x:c r="D87" s="25" t="str">
        <x:v>noip2016_junior</x:v>
      </x:c>
      <x:c r="E87" s="25" t="str">
        <x:v>普及−</x:v>
      </x:c>
      <x:c r="F87" s="25" t="str">
        <x:v>run_result</x:v>
      </x:c>
      <x:c r="G87" s="25" t="str">
        <x:v>collection-20260911T013612Z</x:v>
      </x:c>
      <x:c r="H87" s="62" t="n">
        <x:v>46276.09668253472</x:v>
      </x:c>
      <x:c r="I87" s="25" t="str">
        <x:v>COMPLETED</x:v>
      </x:c>
      <x:c r="J87" s="25" t="str">
        <x:v>AC</x:v>
      </x:c>
      <x:c r="K87" s="25" t="n">
        <x:v>10</x:v>
      </x:c>
      <x:c r="L87" s="25" t="n">
        <x:v>10</x:v>
      </x:c>
      <x:c r="M87" s="65" t="n">
        <x:v>100</x:v>
      </x:c>
      <x:c r="N87" s="25" t="n">
        <x:v>1</x:v>
      </x:c>
      <x:c r="O87" s="25" t="n">
        <x:v>1</x:v>
      </x:c>
      <x:c r="P87" s="25" t="n">
        <x:v>1</x:v>
      </x:c>
      <x:c r="Q87" s="25" t="n">
        <x:v>0</x:v>
      </x:c>
      <x:c r="R87" s="25" t="str">
        <x:v>UNRESOLVED</x:v>
      </x:c>
      <x:c r="S87" s="25"/>
      <x:c r="T87" s="25" t="str">
        <x:v>AC</x:v>
      </x:c>
      <x:c r="U87" s="25" t="n">
        <x:v>10</x:v>
      </x:c>
      <x:c r="V87" s="25" t="n">
        <x:v>10</x:v>
      </x:c>
      <x:c r="W87" s="65" t="n">
        <x:v>100</x:v>
      </x:c>
      <x:c r="X87" s="25" t="n">
        <x:v>1</x:v>
      </x:c>
      <x:c r="Y87" s="25" t="n">
        <x:v>1</x:v>
      </x:c>
      <x:c r="Z87" s="25" t="n">
        <x:v>0</x:v>
      </x:c>
      <x:c r="AA87" s="25" t="n">
        <x:v>0</x:v>
      </x:c>
      <x:c r="AB87" s="25" t="n">
        <x:v>0</x:v>
      </x:c>
      <x:c r="AC87" s="25" t="n">
        <x:v>4</x:v>
      </x:c>
      <x:c r="AD87" s="68" t="n">
        <x:v>37214</x:v>
      </x:c>
      <x:c r="AE87" s="25" t="str">
        <x:v>runs/run_vcHjYi4YneuEcoc</x:v>
      </x:c>
    </x:row>
  </x:sheetData>
  <x:pageMargins left="0.7" right="0.7" top="0.75" bottom="0.75" header="0.3" footer="0.3"/>
  <x:tableParts count="1">
    <x:tablePart xmlns:r="http://schemas.openxmlformats.org/officeDocument/2006/relationships" r:id="R28919910637240fe"/>
  </x:tableParts>
</x:worksheet>
</file>

<file path=xl/worksheets/sheet6.xml><?xml version="1.0" encoding="utf-8"?>
<x:worksheet xmlns:x="http://schemas.openxmlformats.org/spreadsheetml/2006/main">
  <x:sheetPr>
    <x:tabColor rgb="FFB0BEC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9" hidden="0" customWidth="1"/>
    <x:col min="2" max="2" width="24" hidden="0" customWidth="1"/>
    <x:col min="3" max="3" width="22" hidden="0" customWidth="1"/>
    <x:col min="4" max="4" width="18" hidden="0" customWidth="1"/>
    <x:col min="5" max="5" width="19" hidden="0" customWidth="1"/>
    <x:col min="6" max="6" width="19" hidden="0" customWidth="1"/>
    <x:col min="7" max="7" width="19" hidden="0" customWidth="1"/>
    <x:col min="8" max="8" width="26" hidden="0" customWidth="1"/>
    <x:col min="9" max="9" width="26" hidden="0" customWidth="1"/>
    <x:col min="10" max="10" width="26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46" hidden="0" customWidth="1"/>
  </x:cols>
  <x:sheetData>
    <x:row r="1" ht="30" customHeight="1">
      <x:c r="A1" s="17" t="str">
        <x:v>题目 ID</x:v>
      </x:c>
      <x:c r="B1" s="18" t="str">
        <x:v>题目</x:v>
      </x:c>
      <x:c r="C1" s="18" t="str">
        <x:v>数据集</x:v>
      </x:c>
      <x:c r="D1" s="18" t="str">
        <x:v>难度</x:v>
      </x:c>
      <x:c r="E1" s="18" t="str">
        <x:v>完成运行数</x:v>
      </x:c>
      <x:c r="F1" s="18" t="str">
        <x:v>答案至少一次 AC(1/0)</x:v>
      </x:c>
      <x:c r="G1" s="18" t="str">
        <x:v>严格成功至少一次(1/0)</x:v>
      </x:c>
      <x:c r="H1" s="18" t="str">
        <x:v>答案 AC 运行</x:v>
      </x:c>
      <x:c r="I1" s="18" t="str">
        <x:v>严格成功运行</x:v>
      </x:c>
      <x:c r="J1" s="18" t="str">
        <x:v>最近运行</x:v>
      </x:c>
      <x:c r="K1" s="18" t="str">
        <x:v>最近答案正确(1/0)</x:v>
      </x:c>
      <x:c r="L1" s="18" t="str">
        <x:v>最近过程正确(1/0)</x:v>
      </x:c>
      <x:c r="M1" s="18" t="str">
        <x:v>最近严格成功(1/0)</x:v>
      </x:c>
      <x:c r="N1" s="18" t="str">
        <x:v>最近停止原因</x:v>
      </x:c>
      <x:c r="O1" s="19" t="str">
        <x:v>Manifest</x:v>
      </x:c>
    </x:row>
    <x:row r="2">
      <x:c r="A2" s="21" t="str">
        <x:v>csps2019_senior_brackets</x:v>
      </x:c>
      <x:c r="B2" s="21" t="str">
        <x:v>括号树</x:v>
      </x:c>
      <x:c r="C2" s="21" t="str">
        <x:v>csps2019_senior</x:v>
      </x:c>
      <x:c r="D2" s="21" t="str">
        <x:v>普及+/提高−</x:v>
      </x:c>
      <x:c r="E2" s="21" t="n">
        <x:v>2</x:v>
      </x:c>
      <x:c r="F2" s="69" t="n">
        <x:v>1</x:v>
      </x:c>
      <x:c r="G2" s="69" t="n">
        <x:v>0</x:v>
      </x:c>
      <x:c r="H2" s="21" t="str">
        <x:v>run_JaRCJGH9JcKuBQX</x:v>
      </x:c>
      <x:c r="I2" s="21"/>
      <x:c r="J2" s="21" t="str">
        <x:v>run_1m3mkQ91xTgx3KFV</x:v>
      </x:c>
      <x:c r="K2" s="21" t="n">
        <x:v>1</x:v>
      </x:c>
      <x:c r="L2" s="21" t="n">
        <x:v>0</x:v>
      </x:c>
      <x:c r="M2" s="21" t="n">
        <x:v>0</x:v>
      </x:c>
      <x:c r="N2" s="21" t="str">
        <x:v>STALLED</x:v>
      </x:c>
      <x:c r="O2" s="21" t="str">
        <x:v>data/manifests/csps2019_senior/csps2019_senior_brackets.json</x:v>
      </x:c>
    </x:row>
    <x:row r="3">
      <x:c r="A3" s="23" t="str">
        <x:v>csps2019_senior_centroid</x:v>
      </x:c>
      <x:c r="B3" s="23" t="str">
        <x:v>树的重心</x:v>
      </x:c>
      <x:c r="C3" s="23" t="str">
        <x:v>csps2019_senior</x:v>
      </x:c>
      <x:c r="D3" s="23" t="str">
        <x:v>省选/NOI−</x:v>
      </x:c>
      <x:c r="E3" s="23" t="n">
        <x:v>1</x:v>
      </x:c>
      <x:c r="F3" s="70" t="n">
        <x:v>0</x:v>
      </x:c>
      <x:c r="G3" s="70" t="n">
        <x:v>0</x:v>
      </x:c>
      <x:c r="H3" s="23"/>
      <x:c r="I3" s="23"/>
      <x:c r="J3" s="23" t="str">
        <x:v>run_FtEaK8qwSchJzpfN</x:v>
      </x:c>
      <x:c r="K3" s="23" t="n">
        <x:v>0</x:v>
      </x:c>
      <x:c r="L3" s="23" t="n">
        <x:v>0</x:v>
      </x:c>
      <x:c r="M3" s="23" t="n">
        <x:v>0</x:v>
      </x:c>
      <x:c r="N3" s="23" t="str">
        <x:v>STALLED</x:v>
      </x:c>
      <x:c r="O3" s="23" t="str">
        <x:v>data/manifests/csps2019_senior/csps2019_senior_centroid.json</x:v>
      </x:c>
    </x:row>
    <x:row r="4">
      <x:c r="A4" s="23" t="str">
        <x:v>csps2019_senior_code</x:v>
      </x:c>
      <x:c r="B4" s="23" t="str">
        <x:v>格雷码</x:v>
      </x:c>
      <x:c r="C4" s="23" t="str">
        <x:v>csps2019_senior</x:v>
      </x:c>
      <x:c r="D4" s="23" t="str">
        <x:v>普及−</x:v>
      </x:c>
      <x:c r="E4" s="23" t="n">
        <x:v>1</x:v>
      </x:c>
      <x:c r="F4" s="70" t="n">
        <x:v>1</x:v>
      </x:c>
      <x:c r="G4" s="70" t="n">
        <x:v>1</x:v>
      </x:c>
      <x:c r="H4" s="23" t="str">
        <x:v>run_ueCo7xYz7YkCGfD</x:v>
      </x:c>
      <x:c r="I4" s="23" t="str">
        <x:v>run_ueCo7xYz7YkCGfD</x:v>
      </x:c>
      <x:c r="J4" s="23" t="str">
        <x:v>run_ueCo7xYz7YkCGfD</x:v>
      </x:c>
      <x:c r="K4" s="23" t="n">
        <x:v>1</x:v>
      </x:c>
      <x:c r="L4" s="23" t="n">
        <x:v>1</x:v>
      </x:c>
      <x:c r="M4" s="23" t="n">
        <x:v>1</x:v>
      </x:c>
      <x:c r="N4" s="23" t="str">
        <x:v>COMPLETED</x:v>
      </x:c>
      <x:c r="O4" s="23" t="str">
        <x:v>data/manifests/csps2019_senior/csps2019_senior_code.json</x:v>
      </x:c>
    </x:row>
    <x:row r="5">
      <x:c r="A5" s="23" t="str">
        <x:v>csps2019_senior_meal</x:v>
      </x:c>
      <x:c r="B5" s="23" t="str">
        <x:v>Emiya 家今天的饭</x:v>
      </x:c>
      <x:c r="C5" s="23" t="str">
        <x:v>csps2019_senior</x:v>
      </x:c>
      <x:c r="D5" s="23" t="str">
        <x:v>提高+/省选−</x:v>
      </x:c>
      <x:c r="E5" s="23" t="n">
        <x:v>2</x:v>
      </x:c>
      <x:c r="F5" s="70" t="n">
        <x:v>1</x:v>
      </x:c>
      <x:c r="G5" s="70" t="n">
        <x:v>0</x:v>
      </x:c>
      <x:c r="H5" s="23" t="str">
        <x:v>run_gOowsDgYELSN39l</x:v>
      </x:c>
      <x:c r="I5" s="23"/>
      <x:c r="J5" s="23" t="str">
        <x:v>run_krEiXGViNlhpYyxV</x:v>
      </x:c>
      <x:c r="K5" s="23" t="n">
        <x:v>1</x:v>
      </x:c>
      <x:c r="L5" s="23" t="n">
        <x:v>0</x:v>
      </x:c>
      <x:c r="M5" s="23" t="n">
        <x:v>0</x:v>
      </x:c>
      <x:c r="N5" s="23" t="str">
        <x:v>STALLED</x:v>
      </x:c>
      <x:c r="O5" s="23" t="str">
        <x:v>data/manifests/csps2019_senior/csps2019_senior_meal.json</x:v>
      </x:c>
    </x:row>
    <x:row r="6">
      <x:c r="A6" s="23" t="str">
        <x:v>csps2019_senior_partition</x:v>
      </x:c>
      <x:c r="B6" s="23" t="str">
        <x:v>划分</x:v>
      </x:c>
      <x:c r="C6" s="23" t="str">
        <x:v>csps2019_senior</x:v>
      </x:c>
      <x:c r="D6" s="23" t="str">
        <x:v>省选/NOI−</x:v>
      </x:c>
      <x:c r="E6" s="23" t="n">
        <x:v>1</x:v>
      </x:c>
      <x:c r="F6" s="70" t="n">
        <x:v>0</x:v>
      </x:c>
      <x:c r="G6" s="70" t="n">
        <x:v>0</x:v>
      </x:c>
      <x:c r="H6" s="23"/>
      <x:c r="I6" s="23"/>
      <x:c r="J6" s="23" t="str">
        <x:v>run_ZUWaK3nQpE57O40P</x:v>
      </x:c>
      <x:c r="K6" s="23" t="n">
        <x:v>0</x:v>
      </x:c>
      <x:c r="L6" s="23" t="n">
        <x:v>0</x:v>
      </x:c>
      <x:c r="M6" s="23" t="n">
        <x:v>0</x:v>
      </x:c>
      <x:c r="N6" s="23" t="str">
        <x:v>STALLED</x:v>
      </x:c>
      <x:c r="O6" s="23" t="str">
        <x:v>data/manifests/csps2019_senior/csps2019_senior_partition.json</x:v>
      </x:c>
    </x:row>
    <x:row r="7">
      <x:c r="A7" s="23" t="str">
        <x:v>csps2019_senior_tree</x:v>
      </x:c>
      <x:c r="B7" s="23" t="str">
        <x:v>树上的数</x:v>
      </x:c>
      <x:c r="C7" s="23" t="str">
        <x:v>csps2019_senior</x:v>
      </x:c>
      <x:c r="D7" s="23" t="str">
        <x:v>NOI/NOI+/CTS</x:v>
      </x:c>
      <x:c r="E7" s="23" t="n">
        <x:v>3</x:v>
      </x:c>
      <x:c r="F7" s="70" t="n">
        <x:v>0</x:v>
      </x:c>
      <x:c r="G7" s="70" t="n">
        <x:v>0</x:v>
      </x:c>
      <x:c r="H7" s="23"/>
      <x:c r="I7" s="23"/>
      <x:c r="J7" s="23" t="str">
        <x:v>run_tsJab6z3l0ujrLvM</x:v>
      </x:c>
      <x:c r="K7" s="23" t="n">
        <x:v>0</x:v>
      </x:c>
      <x:c r="L7" s="23" t="n">
        <x:v>0</x:v>
      </x:c>
      <x:c r="M7" s="23" t="n">
        <x:v>0</x:v>
      </x:c>
      <x:c r="N7" s="23" t="str">
        <x:v>REPAIR_DISABLED</x:v>
      </x:c>
      <x:c r="O7" s="23" t="str">
        <x:v>data/manifests/csps2019_senior/csps2019_senior_tree.json</x:v>
      </x:c>
    </x:row>
    <x:row r="8">
      <x:c r="A8" s="23" t="str">
        <x:v>csps2020_senior_call</x:v>
      </x:c>
      <x:c r="B8" s="23" t="str">
        <x:v>函数调用</x:v>
      </x:c>
      <x:c r="C8" s="23" t="str">
        <x:v>csps2020_senior</x:v>
      </x:c>
      <x:c r="D8" s="23" t="str">
        <x:v>提高+/省选−</x:v>
      </x:c>
      <x:c r="E8" s="23" t="n">
        <x:v>1</x:v>
      </x:c>
      <x:c r="F8" s="70" t="n">
        <x:v>1</x:v>
      </x:c>
      <x:c r="G8" s="70" t="n">
        <x:v>1</x:v>
      </x:c>
      <x:c r="H8" s="23" t="str">
        <x:v>run_pFN7Dj8CEk463D</x:v>
      </x:c>
      <x:c r="I8" s="23" t="str">
        <x:v>run_pFN7Dj8CEk463D</x:v>
      </x:c>
      <x:c r="J8" s="23" t="str">
        <x:v>run_pFN7Dj8CEk463D</x:v>
      </x:c>
      <x:c r="K8" s="23" t="n">
        <x:v>1</x:v>
      </x:c>
      <x:c r="L8" s="23" t="n">
        <x:v>1</x:v>
      </x:c>
      <x:c r="M8" s="23" t="n">
        <x:v>1</x:v>
      </x:c>
      <x:c r="N8" s="23" t="str">
        <x:v>COMPLETED</x:v>
      </x:c>
      <x:c r="O8" s="23" t="str">
        <x:v>data/manifests/csps2020_senior/csps2020_senior_call.json</x:v>
      </x:c>
    </x:row>
    <x:row r="9">
      <x:c r="A9" s="23" t="str">
        <x:v>csps2020_senior_julian</x:v>
      </x:c>
      <x:c r="B9" s="23" t="str">
        <x:v>儒略日</x:v>
      </x:c>
      <x:c r="C9" s="23" t="str">
        <x:v>csps2020_senior</x:v>
      </x:c>
      <x:c r="D9" s="23" t="str">
        <x:v>普及+/提高−</x:v>
      </x:c>
      <x:c r="E9" s="23" t="n">
        <x:v>1</x:v>
      </x:c>
      <x:c r="F9" s="70" t="n">
        <x:v>1</x:v>
      </x:c>
      <x:c r="G9" s="70" t="n">
        <x:v>1</x:v>
      </x:c>
      <x:c r="H9" s="23" t="str">
        <x:v>run_Xja7G1LcEDKlLo</x:v>
      </x:c>
      <x:c r="I9" s="23" t="str">
        <x:v>run_Xja7G1LcEDKlLo</x:v>
      </x:c>
      <x:c r="J9" s="23" t="str">
        <x:v>run_Xja7G1LcEDKlLo</x:v>
      </x:c>
      <x:c r="K9" s="23" t="n">
        <x:v>1</x:v>
      </x:c>
      <x:c r="L9" s="23" t="n">
        <x:v>1</x:v>
      </x:c>
      <x:c r="M9" s="23" t="n">
        <x:v>1</x:v>
      </x:c>
      <x:c r="N9" s="23" t="str">
        <x:v>COMPLETED</x:v>
      </x:c>
      <x:c r="O9" s="23" t="str">
        <x:v>data/manifests/csps2020_senior/csps2020_senior_julian.json</x:v>
      </x:c>
    </x:row>
    <x:row r="10">
      <x:c r="A10" s="23" t="str">
        <x:v>csps2020_senior_snakes</x:v>
      </x:c>
      <x:c r="B10" s="23" t="str">
        <x:v>贪吃蛇</x:v>
      </x:c>
      <x:c r="C10" s="23" t="str">
        <x:v>csps2020_senior</x:v>
      </x:c>
      <x:c r="D10" s="23" t="str">
        <x:v>省选/NOI−</x:v>
      </x:c>
      <x:c r="E10" s="23" t="n">
        <x:v>1</x:v>
      </x:c>
      <x:c r="F10" s="70" t="n">
        <x:v>1</x:v>
      </x:c>
      <x:c r="G10" s="70" t="n">
        <x:v>0</x:v>
      </x:c>
      <x:c r="H10" s="23" t="str">
        <x:v>run_gZnBYgrGdN0bhbYL</x:v>
      </x:c>
      <x:c r="I10" s="23"/>
      <x:c r="J10" s="23" t="str">
        <x:v>run_gZnBYgrGdN0bhbYL</x:v>
      </x:c>
      <x:c r="K10" s="23" t="n">
        <x:v>1</x:v>
      </x:c>
      <x:c r="L10" s="23" t="n">
        <x:v>0</x:v>
      </x:c>
      <x:c r="M10" s="23" t="n">
        <x:v>0</x:v>
      </x:c>
      <x:c r="N10" s="23" t="str">
        <x:v>MAX_ROUNDS</x:v>
      </x:c>
      <x:c r="O10" s="23" t="str">
        <x:v>data/manifests/csps2020_senior/csps2020_senior_snakes.json</x:v>
      </x:c>
    </x:row>
    <x:row r="11">
      <x:c r="A11" s="23" t="str">
        <x:v>csps2020_senior_zoo</x:v>
      </x:c>
      <x:c r="B11" s="23" t="str">
        <x:v>动物园</x:v>
      </x:c>
      <x:c r="C11" s="23" t="str">
        <x:v>csps2020_senior</x:v>
      </x:c>
      <x:c r="D11" s="23" t="str">
        <x:v>普及</x:v>
      </x:c>
      <x:c r="E11" s="23" t="n">
        <x:v>1</x:v>
      </x:c>
      <x:c r="F11" s="70" t="n">
        <x:v>1</x:v>
      </x:c>
      <x:c r="G11" s="70" t="n">
        <x:v>1</x:v>
      </x:c>
      <x:c r="H11" s="23" t="str">
        <x:v>run_OVXoF70wwqzDYVk</x:v>
      </x:c>
      <x:c r="I11" s="23" t="str">
        <x:v>run_OVXoF70wwqzDYVk</x:v>
      </x:c>
      <x:c r="J11" s="23" t="str">
        <x:v>run_OVXoF70wwqzDYVk</x:v>
      </x:c>
      <x:c r="K11" s="23" t="n">
        <x:v>1</x:v>
      </x:c>
      <x:c r="L11" s="23" t="n">
        <x:v>1</x:v>
      </x:c>
      <x:c r="M11" s="23" t="n">
        <x:v>1</x:v>
      </x:c>
      <x:c r="N11" s="23" t="str">
        <x:v>COMPLETED</x:v>
      </x:c>
      <x:c r="O11" s="23" t="str">
        <x:v>data/manifests/csps2020_senior/csps2020_senior_zoo.json</x:v>
      </x:c>
    </x:row>
    <x:row r="12">
      <x:c r="A12" s="23" t="str">
        <x:v>csps2021_senior_airport</x:v>
      </x:c>
      <x:c r="B12" s="23" t="str">
        <x:v>廊桥分配</x:v>
      </x:c>
      <x:c r="C12" s="23" t="str">
        <x:v>csps2021_senior</x:v>
      </x:c>
      <x:c r="D12" s="23" t="str">
        <x:v>普及+/提高−</x:v>
      </x:c>
      <x:c r="E12" s="23" t="n">
        <x:v>1</x:v>
      </x:c>
      <x:c r="F12" s="70" t="n">
        <x:v>1</x:v>
      </x:c>
      <x:c r="G12" s="70" t="n">
        <x:v>1</x:v>
      </x:c>
      <x:c r="H12" s="23" t="str">
        <x:v>run_m4f2CLks1kqFAPhO</x:v>
      </x:c>
      <x:c r="I12" s="23" t="str">
        <x:v>run_m4f2CLks1kqFAPhO</x:v>
      </x:c>
      <x:c r="J12" s="23" t="str">
        <x:v>run_m4f2CLks1kqFAPhO</x:v>
      </x:c>
      <x:c r="K12" s="23" t="n">
        <x:v>1</x:v>
      </x:c>
      <x:c r="L12" s="23" t="n">
        <x:v>1</x:v>
      </x:c>
      <x:c r="M12" s="23" t="n">
        <x:v>1</x:v>
      </x:c>
      <x:c r="N12" s="23" t="str">
        <x:v>COMPLETED</x:v>
      </x:c>
      <x:c r="O12" s="23" t="str">
        <x:v>data/manifests/csps2021_senior/csps2021_senior_airport.json</x:v>
      </x:c>
    </x:row>
    <x:row r="13">
      <x:c r="A13" s="23" t="str">
        <x:v>csps2021_senior_bracket</x:v>
      </x:c>
      <x:c r="B13" s="23" t="str">
        <x:v>括号序列</x:v>
      </x:c>
      <x:c r="C13" s="23" t="str">
        <x:v>csps2021_senior</x:v>
      </x:c>
      <x:c r="D13" s="23" t="str">
        <x:v>提高+/省选−</x:v>
      </x:c>
      <x:c r="E13" s="23" t="n">
        <x:v>1</x:v>
      </x:c>
      <x:c r="F13" s="70" t="n">
        <x:v>1</x:v>
      </x:c>
      <x:c r="G13" s="70" t="n">
        <x:v>1</x:v>
      </x:c>
      <x:c r="H13" s="23" t="str">
        <x:v>run_XxizWkxoD2IJCvM</x:v>
      </x:c>
      <x:c r="I13" s="23" t="str">
        <x:v>run_XxizWkxoD2IJCvM</x:v>
      </x:c>
      <x:c r="J13" s="23" t="str">
        <x:v>run_XxizWkxoD2IJCvM</x:v>
      </x:c>
      <x:c r="K13" s="23" t="n">
        <x:v>1</x:v>
      </x:c>
      <x:c r="L13" s="23" t="n">
        <x:v>1</x:v>
      </x:c>
      <x:c r="M13" s="23" t="n">
        <x:v>1</x:v>
      </x:c>
      <x:c r="N13" s="23" t="str">
        <x:v>COMPLETED</x:v>
      </x:c>
      <x:c r="O13" s="23" t="str">
        <x:v>data/manifests/csps2021_senior/csps2021_senior_bracket.json</x:v>
      </x:c>
    </x:row>
    <x:row r="14">
      <x:c r="A14" s="23" t="str">
        <x:v>csps2021_senior_palin</x:v>
      </x:c>
      <x:c r="B14" s="23" t="str">
        <x:v>回文</x:v>
      </x:c>
      <x:c r="C14" s="23" t="str">
        <x:v>csps2021_senior</x:v>
      </x:c>
      <x:c r="D14" s="23" t="str">
        <x:v>普及+/提高−</x:v>
      </x:c>
      <x:c r="E14" s="23" t="n">
        <x:v>1</x:v>
      </x:c>
      <x:c r="F14" s="70" t="n">
        <x:v>0</x:v>
      </x:c>
      <x:c r="G14" s="70" t="n">
        <x:v>0</x:v>
      </x:c>
      <x:c r="H14" s="23"/>
      <x:c r="I14" s="23"/>
      <x:c r="J14" s="23" t="str">
        <x:v>run_4J2fCnZb2kPE91LY</x:v>
      </x:c>
      <x:c r="K14" s="23" t="n">
        <x:v>0</x:v>
      </x:c>
      <x:c r="L14" s="23" t="n">
        <x:v>0</x:v>
      </x:c>
      <x:c r="M14" s="23" t="n">
        <x:v>0</x:v>
      </x:c>
      <x:c r="N14" s="23" t="str">
        <x:v>MAX_ROUNDS</x:v>
      </x:c>
      <x:c r="O14" s="23" t="str">
        <x:v>data/manifests/csps2021_senior/csps2021_senior_palin.json</x:v>
      </x:c>
    </x:row>
    <x:row r="15">
      <x:c r="A15" s="23" t="str">
        <x:v>csps2021_senior_traffic</x:v>
      </x:c>
      <x:c r="B15" s="23" t="str">
        <x:v>交通规划</x:v>
      </x:c>
      <x:c r="C15" s="23" t="str">
        <x:v>csps2021_senior</x:v>
      </x:c>
      <x:c r="D15" s="23" t="str">
        <x:v>省选/NOI−</x:v>
      </x:c>
      <x:c r="E15" s="23" t="n">
        <x:v>1</x:v>
      </x:c>
      <x:c r="F15" s="70" t="n">
        <x:v>0</x:v>
      </x:c>
      <x:c r="G15" s="70" t="n">
        <x:v>0</x:v>
      </x:c>
      <x:c r="H15" s="23"/>
      <x:c r="I15" s="23"/>
      <x:c r="J15" s="23" t="str">
        <x:v>run_RZhgOq4sIca4uq9E</x:v>
      </x:c>
      <x:c r="K15" s="23" t="n">
        <x:v>0</x:v>
      </x:c>
      <x:c r="L15" s="23" t="n">
        <x:v>0</x:v>
      </x:c>
      <x:c r="M15" s="23" t="n">
        <x:v>0</x:v>
      </x:c>
      <x:c r="N15" s="23" t="str">
        <x:v>STALLED</x:v>
      </x:c>
      <x:c r="O15" s="23" t="str">
        <x:v>data/manifests/csps2021_senior/csps2021_senior_traffic.json</x:v>
      </x:c>
    </x:row>
    <x:row r="16">
      <x:c r="A16" s="23" t="str">
        <x:v>csps2024_senior_arena</x:v>
      </x:c>
      <x:c r="B16" s="23" t="str">
        <x:v>擂台游戏</x:v>
      </x:c>
      <x:c r="C16" s="23" t="str">
        <x:v>csps2024_senior</x:v>
      </x:c>
      <x:c r="D16" s="23" t="str">
        <x:v>NOI/NOI+/CTS</x:v>
      </x:c>
      <x:c r="E16" s="23" t="n">
        <x:v>1</x:v>
      </x:c>
      <x:c r="F16" s="70" t="n">
        <x:v>0</x:v>
      </x:c>
      <x:c r="G16" s="70" t="n">
        <x:v>0</x:v>
      </x:c>
      <x:c r="H16" s="23"/>
      <x:c r="I16" s="23"/>
      <x:c r="J16" s="23" t="str">
        <x:v>run_JHKyEG3XgusSfgZn</x:v>
      </x:c>
      <x:c r="K16" s="23" t="n">
        <x:v>0</x:v>
      </x:c>
      <x:c r="L16" s="23" t="n">
        <x:v>0</x:v>
      </x:c>
      <x:c r="M16" s="23" t="n">
        <x:v>0</x:v>
      </x:c>
      <x:c r="N16" s="23" t="str">
        <x:v>STALLED</x:v>
      </x:c>
      <x:c r="O16" s="23" t="str">
        <x:v>data/manifests/csps2024_senior/csps2024_senior_arena.json</x:v>
      </x:c>
    </x:row>
    <x:row r="17">
      <x:c r="A17" s="23" t="str">
        <x:v>csps2024_senior_color</x:v>
      </x:c>
      <x:c r="B17" s="23" t="str">
        <x:v>染色</x:v>
      </x:c>
      <x:c r="C17" s="23" t="str">
        <x:v>csps2024_senior</x:v>
      </x:c>
      <x:c r="D17" s="23" t="str">
        <x:v>提高</x:v>
      </x:c>
      <x:c r="E17" s="23" t="n">
        <x:v>1</x:v>
      </x:c>
      <x:c r="F17" s="70" t="n">
        <x:v>1</x:v>
      </x:c>
      <x:c r="G17" s="70" t="n">
        <x:v>0</x:v>
      </x:c>
      <x:c r="H17" s="23" t="str">
        <x:v>run_AIB1sepiUBYipqs6</x:v>
      </x:c>
      <x:c r="I17" s="23"/>
      <x:c r="J17" s="23" t="str">
        <x:v>run_AIB1sepiUBYipqs6</x:v>
      </x:c>
      <x:c r="K17" s="23" t="n">
        <x:v>1</x:v>
      </x:c>
      <x:c r="L17" s="23" t="n">
        <x:v>0</x:v>
      </x:c>
      <x:c r="M17" s="23" t="n">
        <x:v>0</x:v>
      </x:c>
      <x:c r="N17" s="23" t="str">
        <x:v>STALLED</x:v>
      </x:c>
      <x:c r="O17" s="23" t="str">
        <x:v>data/manifests/csps2024_senior/csps2024_senior_color.json</x:v>
      </x:c>
    </x:row>
    <x:row r="18">
      <x:c r="A18" s="23" t="str">
        <x:v>csps2024_senior_detect</x:v>
      </x:c>
      <x:c r="B18" s="23" t="str">
        <x:v>超速检测</x:v>
      </x:c>
      <x:c r="C18" s="23" t="str">
        <x:v>csps2024_senior</x:v>
      </x:c>
      <x:c r="D18" s="23" t="str">
        <x:v>普及+/提高−</x:v>
      </x:c>
      <x:c r="E18" s="23" t="n">
        <x:v>1</x:v>
      </x:c>
      <x:c r="F18" s="70" t="n">
        <x:v>1</x:v>
      </x:c>
      <x:c r="G18" s="70" t="n">
        <x:v>1</x:v>
      </x:c>
      <x:c r="H18" s="23" t="str">
        <x:v>run_ogSNVlvSTdibvV9T</x:v>
      </x:c>
      <x:c r="I18" s="23" t="str">
        <x:v>run_ogSNVlvSTdibvV9T</x:v>
      </x:c>
      <x:c r="J18" s="23" t="str">
        <x:v>run_ogSNVlvSTdibvV9T</x:v>
      </x:c>
      <x:c r="K18" s="23" t="n">
        <x:v>1</x:v>
      </x:c>
      <x:c r="L18" s="23" t="n">
        <x:v>1</x:v>
      </x:c>
      <x:c r="M18" s="23" t="n">
        <x:v>1</x:v>
      </x:c>
      <x:c r="N18" s="23" t="str">
        <x:v>COMPLETED</x:v>
      </x:c>
      <x:c r="O18" s="23" t="str">
        <x:v>data/manifests/csps2024_senior/csps2024_senior_detect.json</x:v>
      </x:c>
    </x:row>
    <x:row r="19">
      <x:c r="A19" s="23" t="str">
        <x:v>csps2024_senior_duel</x:v>
      </x:c>
      <x:c r="B19" s="23" t="str">
        <x:v>决斗</x:v>
      </x:c>
      <x:c r="C19" s="23" t="str">
        <x:v>csps2024_senior</x:v>
      </x:c>
      <x:c r="D19" s="23" t="str">
        <x:v>普及−</x:v>
      </x:c>
      <x:c r="E19" s="23" t="n">
        <x:v>1</x:v>
      </x:c>
      <x:c r="F19" s="70" t="n">
        <x:v>1</x:v>
      </x:c>
      <x:c r="G19" s="70" t="n">
        <x:v>1</x:v>
      </x:c>
      <x:c r="H19" s="23" t="str">
        <x:v>run_DkeCIJ2mX9q7Lnl</x:v>
      </x:c>
      <x:c r="I19" s="23" t="str">
        <x:v>run_DkeCIJ2mX9q7Lnl</x:v>
      </x:c>
      <x:c r="J19" s="23" t="str">
        <x:v>run_DkeCIJ2mX9q7Lnl</x:v>
      </x:c>
      <x:c r="K19" s="23" t="n">
        <x:v>1</x:v>
      </x:c>
      <x:c r="L19" s="23" t="n">
        <x:v>1</x:v>
      </x:c>
      <x:c r="M19" s="23" t="n">
        <x:v>1</x:v>
      </x:c>
      <x:c r="N19" s="23" t="str">
        <x:v>COMPLETED</x:v>
      </x:c>
      <x:c r="O19" s="23" t="str">
        <x:v>data/manifests/csps2024_senior/csps2024_senior_duel.json</x:v>
      </x:c>
    </x:row>
    <x:row r="20">
      <x:c r="A20" s="23" t="str">
        <x:v>defense</x:v>
      </x:c>
      <x:c r="B20" s="23" t="str">
        <x:v>保卫王国</x:v>
      </x:c>
      <x:c r="C20" s="23" t="str">
        <x:v>noip2018</x:v>
      </x:c>
      <x:c r="D20" s="23" t="str">
        <x:v>省选/NOI−</x:v>
      </x:c>
      <x:c r="E20" s="23" t="n">
        <x:v>3</x:v>
      </x:c>
      <x:c r="F20" s="70" t="n">
        <x:v>1</x:v>
      </x:c>
      <x:c r="G20" s="70" t="n">
        <x:v>1</x:v>
      </x:c>
      <x:c r="H20" s="23" t="str">
        <x:v>run_hrFicZzSxzEVtwNm</x:v>
      </x:c>
      <x:c r="I20" s="23" t="str">
        <x:v>run_ndO7vwqrIJ3Ljjsi</x:v>
      </x:c>
      <x:c r="J20" s="23" t="str">
        <x:v>run_Uqj8Z6xbzUlhxkkF</x:v>
      </x:c>
      <x:c r="K20" s="23" t="n">
        <x:v>0</x:v>
      </x:c>
      <x:c r="L20" s="23" t="n">
        <x:v>0</x:v>
      </x:c>
      <x:c r="M20" s="23" t="n">
        <x:v>0</x:v>
      </x:c>
      <x:c r="N20" s="23" t="str">
        <x:v>MAX_ROUNDS</x:v>
      </x:c>
      <x:c r="O20" s="23" t="str">
        <x:v>data/manifests/noip2018/defense.json</x:v>
      </x:c>
    </x:row>
    <x:row r="21">
      <x:c r="A21" s="23" t="str">
        <x:v>game</x:v>
      </x:c>
      <x:c r="B21" s="23" t="str">
        <x:v>填数游戏</x:v>
      </x:c>
      <x:c r="C21" s="23" t="str">
        <x:v>noip2018</x:v>
      </x:c>
      <x:c r="D21" s="23" t="str">
        <x:v>NOI/NOI+/CTS</x:v>
      </x:c>
      <x:c r="E21" s="23" t="n">
        <x:v>4</x:v>
      </x:c>
      <x:c r="F21" s="70" t="n">
        <x:v>0</x:v>
      </x:c>
      <x:c r="G21" s="70" t="n">
        <x:v>0</x:v>
      </x:c>
      <x:c r="H21" s="23"/>
      <x:c r="I21" s="23"/>
      <x:c r="J21" s="23" t="str">
        <x:v>run_Qz4NGzzFU9H4ai5V</x:v>
      </x:c>
      <x:c r="K21" s="23" t="n">
        <x:v>0</x:v>
      </x:c>
      <x:c r="L21" s="23" t="n">
        <x:v>1</x:v>
      </x:c>
      <x:c r="M21" s="23" t="n">
        <x:v>0</x:v>
      </x:c>
      <x:c r="N21" s="23" t="str">
        <x:v>STALLED</x:v>
      </x:c>
      <x:c r="O21" s="23" t="str">
        <x:v>data/manifests/noip2018/game.json</x:v>
      </x:c>
    </x:row>
    <x:row r="22">
      <x:c r="A22" s="23" t="str">
        <x:v>money</x:v>
      </x:c>
      <x:c r="B22" s="23" t="str">
        <x:v>货币系统</x:v>
      </x:c>
      <x:c r="C22" s="23" t="str">
        <x:v>noip2018</x:v>
      </x:c>
      <x:c r="D22" s="23" t="str">
        <x:v>普及+/提高−</x:v>
      </x:c>
      <x:c r="E22" s="23" t="n">
        <x:v>4</x:v>
      </x:c>
      <x:c r="F22" s="70" t="n">
        <x:v>1</x:v>
      </x:c>
      <x:c r="G22" s="70" t="n">
        <x:v>1</x:v>
      </x:c>
      <x:c r="H22" s="23" t="str">
        <x:v>run_0RBbx1H0DHLxSwcm</x:v>
      </x:c>
      <x:c r="I22" s="23" t="str">
        <x:v>run_0RBbx1H0DHLxSwcm</x:v>
      </x:c>
      <x:c r="J22" s="23" t="str">
        <x:v>run_rVw9lQjtzswivzbX</x:v>
      </x:c>
      <x:c r="K22" s="23" t="n">
        <x:v>1</x:v>
      </x:c>
      <x:c r="L22" s="23" t="n">
        <x:v>1</x:v>
      </x:c>
      <x:c r="M22" s="23" t="n">
        <x:v>1</x:v>
      </x:c>
      <x:c r="N22" s="23" t="str">
        <x:v>COMPLETED</x:v>
      </x:c>
      <x:c r="O22" s="23" t="str">
        <x:v>data/manifests/noip2018/money.json</x:v>
      </x:c>
    </x:row>
    <x:row r="23">
      <x:c r="A23" s="23" t="str">
        <x:v>noip2014_junior_count</x:v>
      </x:c>
      <x:c r="B23" s="23" t="str">
        <x:v>珠心算测验</x:v>
      </x:c>
      <x:c r="C23" s="23" t="str">
        <x:v>noip2014_junior</x:v>
      </x:c>
      <x:c r="D23" s="23" t="str">
        <x:v>普及−</x:v>
      </x:c>
      <x:c r="E23" s="23" t="n">
        <x:v>1</x:v>
      </x:c>
      <x:c r="F23" s="70" t="n">
        <x:v>1</x:v>
      </x:c>
      <x:c r="G23" s="70" t="n">
        <x:v>1</x:v>
      </x:c>
      <x:c r="H23" s="23" t="str">
        <x:v>run_0iYRSc1et0SGm6P9</x:v>
      </x:c>
      <x:c r="I23" s="23" t="str">
        <x:v>run_0iYRSc1et0SGm6P9</x:v>
      </x:c>
      <x:c r="J23" s="23" t="str">
        <x:v>run_0iYRSc1et0SGm6P9</x:v>
      </x:c>
      <x:c r="K23" s="23" t="n">
        <x:v>1</x:v>
      </x:c>
      <x:c r="L23" s="23" t="n">
        <x:v>1</x:v>
      </x:c>
      <x:c r="M23" s="23" t="n">
        <x:v>1</x:v>
      </x:c>
      <x:c r="N23" s="23" t="str">
        <x:v>COMPLETED</x:v>
      </x:c>
      <x:c r="O23" s="23" t="str">
        <x:v>data/manifests/noip2014_junior/noip2014_junior_count.json</x:v>
      </x:c>
    </x:row>
    <x:row r="24">
      <x:c r="A24" s="23" t="str">
        <x:v>noip2014_junior_matrix</x:v>
      </x:c>
      <x:c r="B24" s="23" t="str">
        <x:v>螺旋矩阵</x:v>
      </x:c>
      <x:c r="C24" s="23" t="str">
        <x:v>noip2014_junior</x:v>
      </x:c>
      <x:c r="D24" s="23" t="str">
        <x:v>普及</x:v>
      </x:c>
      <x:c r="E24" s="23" t="n">
        <x:v>1</x:v>
      </x:c>
      <x:c r="F24" s="70" t="n">
        <x:v>1</x:v>
      </x:c>
      <x:c r="G24" s="70" t="n">
        <x:v>1</x:v>
      </x:c>
      <x:c r="H24" s="23" t="str">
        <x:v>run_0K78TZRaJK4QJ3e</x:v>
      </x:c>
      <x:c r="I24" s="23" t="str">
        <x:v>run_0K78TZRaJK4QJ3e</x:v>
      </x:c>
      <x:c r="J24" s="23" t="str">
        <x:v>run_0K78TZRaJK4QJ3e</x:v>
      </x:c>
      <x:c r="K24" s="23" t="n">
        <x:v>1</x:v>
      </x:c>
      <x:c r="L24" s="23" t="n">
        <x:v>1</x:v>
      </x:c>
      <x:c r="M24" s="23" t="n">
        <x:v>1</x:v>
      </x:c>
      <x:c r="N24" s="23" t="str">
        <x:v>COMPLETED</x:v>
      </x:c>
      <x:c r="O24" s="23" t="str">
        <x:v>data/manifests/noip2014_junior/noip2014_junior_matrix.json</x:v>
      </x:c>
    </x:row>
    <x:row r="25">
      <x:c r="A25" s="23" t="str">
        <x:v>noip2014_junior_ratio</x:v>
      </x:c>
      <x:c r="B25" s="23" t="str">
        <x:v>比例简化</x:v>
      </x:c>
      <x:c r="C25" s="23" t="str">
        <x:v>noip2014_junior</x:v>
      </x:c>
      <x:c r="D25" s="23" t="str">
        <x:v>普及−</x:v>
      </x:c>
      <x:c r="E25" s="23" t="n">
        <x:v>1</x:v>
      </x:c>
      <x:c r="F25" s="70" t="n">
        <x:v>1</x:v>
      </x:c>
      <x:c r="G25" s="70" t="n">
        <x:v>1</x:v>
      </x:c>
      <x:c r="H25" s="23" t="str">
        <x:v>run_zcY34OyBRSM0r7I</x:v>
      </x:c>
      <x:c r="I25" s="23" t="str">
        <x:v>run_zcY34OyBRSM0r7I</x:v>
      </x:c>
      <x:c r="J25" s="23" t="str">
        <x:v>run_zcY34OyBRSM0r7I</x:v>
      </x:c>
      <x:c r="K25" s="23" t="n">
        <x:v>1</x:v>
      </x:c>
      <x:c r="L25" s="23" t="n">
        <x:v>1</x:v>
      </x:c>
      <x:c r="M25" s="23" t="n">
        <x:v>1</x:v>
      </x:c>
      <x:c r="N25" s="23" t="str">
        <x:v>COMPLETED</x:v>
      </x:c>
      <x:c r="O25" s="23" t="str">
        <x:v>data/manifests/noip2014_junior/noip2014_junior_ratio.json</x:v>
      </x:c>
    </x:row>
    <x:row r="26">
      <x:c r="A26" s="23" t="str">
        <x:v>noip2014_junior_submatrix</x:v>
      </x:c>
      <x:c r="B26" s="23" t="str">
        <x:v>子矩阵</x:v>
      </x:c>
      <x:c r="C26" s="23" t="str">
        <x:v>noip2014_junior</x:v>
      </x:c>
      <x:c r="D26" s="23" t="str">
        <x:v>提高</x:v>
      </x:c>
      <x:c r="E26" s="23" t="n">
        <x:v>1</x:v>
      </x:c>
      <x:c r="F26" s="70" t="n">
        <x:v>1</x:v>
      </x:c>
      <x:c r="G26" s="70" t="n">
        <x:v>1</x:v>
      </x:c>
      <x:c r="H26" s="23" t="str">
        <x:v>run_mDNK1c74NSA1fQql</x:v>
      </x:c>
      <x:c r="I26" s="23" t="str">
        <x:v>run_mDNK1c74NSA1fQql</x:v>
      </x:c>
      <x:c r="J26" s="23" t="str">
        <x:v>run_mDNK1c74NSA1fQql</x:v>
      </x:c>
      <x:c r="K26" s="23" t="n">
        <x:v>1</x:v>
      </x:c>
      <x:c r="L26" s="23" t="n">
        <x:v>1</x:v>
      </x:c>
      <x:c r="M26" s="23" t="n">
        <x:v>1</x:v>
      </x:c>
      <x:c r="N26" s="23" t="str">
        <x:v>COMPLETED</x:v>
      </x:c>
      <x:c r="O26" s="23" t="str">
        <x:v>data/manifests/noip2014_junior/noip2014_junior_submatrix.json</x:v>
      </x:c>
    </x:row>
    <x:row r="27">
      <x:c r="A27" s="23" t="str">
        <x:v>noip2014_senior_bird</x:v>
      </x:c>
      <x:c r="B27" s="23" t="str">
        <x:v>飞扬的小鸟</x:v>
      </x:c>
      <x:c r="C27" s="23" t="str">
        <x:v>noip2014_senior</x:v>
      </x:c>
      <x:c r="D27" s="23" t="str">
        <x:v>普及+/提高−</x:v>
      </x:c>
      <x:c r="E27" s="23" t="n">
        <x:v>1</x:v>
      </x:c>
      <x:c r="F27" s="70" t="n">
        <x:v>1</x:v>
      </x:c>
      <x:c r="G27" s="70" t="n">
        <x:v>1</x:v>
      </x:c>
      <x:c r="H27" s="23" t="str">
        <x:v>run_PGJATAPTV12qapFz</x:v>
      </x:c>
      <x:c r="I27" s="23" t="str">
        <x:v>run_PGJATAPTV12qapFz</x:v>
      </x:c>
      <x:c r="J27" s="23" t="str">
        <x:v>run_PGJATAPTV12qapFz</x:v>
      </x:c>
      <x:c r="K27" s="23" t="n">
        <x:v>1</x:v>
      </x:c>
      <x:c r="L27" s="23" t="n">
        <x:v>1</x:v>
      </x:c>
      <x:c r="M27" s="23" t="n">
        <x:v>1</x:v>
      </x:c>
      <x:c r="N27" s="23" t="str">
        <x:v>COMPLETED</x:v>
      </x:c>
      <x:c r="O27" s="23" t="str">
        <x:v>data/manifests/noip2014_senior/noip2014_senior_bird.json</x:v>
      </x:c>
    </x:row>
    <x:row r="28">
      <x:c r="A28" s="23" t="str">
        <x:v>noip2014_senior_equation</x:v>
      </x:c>
      <x:c r="B28" s="23" t="str">
        <x:v>解方程</x:v>
      </x:c>
      <x:c r="C28" s="23" t="str">
        <x:v>noip2014_senior</x:v>
      </x:c>
      <x:c r="D28" s="23" t="str">
        <x:v>普及+/提高−</x:v>
      </x:c>
      <x:c r="E28" s="23" t="n">
        <x:v>1</x:v>
      </x:c>
      <x:c r="F28" s="70" t="n">
        <x:v>1</x:v>
      </x:c>
      <x:c r="G28" s="70" t="n">
        <x:v>1</x:v>
      </x:c>
      <x:c r="H28" s="23" t="str">
        <x:v>run_rMfFaEcD2rmwCnZ</x:v>
      </x:c>
      <x:c r="I28" s="23" t="str">
        <x:v>run_rMfFaEcD2rmwCnZ</x:v>
      </x:c>
      <x:c r="J28" s="23" t="str">
        <x:v>run_rMfFaEcD2rmwCnZ</x:v>
      </x:c>
      <x:c r="K28" s="23" t="n">
        <x:v>1</x:v>
      </x:c>
      <x:c r="L28" s="23" t="n">
        <x:v>1</x:v>
      </x:c>
      <x:c r="M28" s="23" t="n">
        <x:v>1</x:v>
      </x:c>
      <x:c r="N28" s="23" t="str">
        <x:v>COMPLETED</x:v>
      </x:c>
      <x:c r="O28" s="23" t="str">
        <x:v>data/manifests/noip2014_senior/noip2014_senior_equation.json</x:v>
      </x:c>
    </x:row>
    <x:row r="29">
      <x:c r="A29" s="23" t="str">
        <x:v>noip2014_senior_link</x:v>
      </x:c>
      <x:c r="B29" s="23" t="str">
        <x:v>联合权值</x:v>
      </x:c>
      <x:c r="C29" s="23" t="str">
        <x:v>noip2014_senior</x:v>
      </x:c>
      <x:c r="D29" s="23" t="str">
        <x:v>普及</x:v>
      </x:c>
      <x:c r="E29" s="23" t="n">
        <x:v>1</x:v>
      </x:c>
      <x:c r="F29" s="70" t="n">
        <x:v>1</x:v>
      </x:c>
      <x:c r="G29" s="70" t="n">
        <x:v>1</x:v>
      </x:c>
      <x:c r="H29" s="23" t="str">
        <x:v>run_61Vh3ut1VDmrG74</x:v>
      </x:c>
      <x:c r="I29" s="23" t="str">
        <x:v>run_61Vh3ut1VDmrG74</x:v>
      </x:c>
      <x:c r="J29" s="23" t="str">
        <x:v>run_61Vh3ut1VDmrG74</x:v>
      </x:c>
      <x:c r="K29" s="23" t="n">
        <x:v>1</x:v>
      </x:c>
      <x:c r="L29" s="23" t="n">
        <x:v>1</x:v>
      </x:c>
      <x:c r="M29" s="23" t="n">
        <x:v>1</x:v>
      </x:c>
      <x:c r="N29" s="23" t="str">
        <x:v>COMPLETED</x:v>
      </x:c>
      <x:c r="O29" s="23" t="str">
        <x:v>data/manifests/noip2014_senior/noip2014_senior_link.json</x:v>
      </x:c>
    </x:row>
    <x:row r="30">
      <x:c r="A30" s="23" t="str">
        <x:v>noip2014_senior_road</x:v>
      </x:c>
      <x:c r="B30" s="23" t="str">
        <x:v>寻找道路</x:v>
      </x:c>
      <x:c r="C30" s="23" t="str">
        <x:v>noip2014_senior</x:v>
      </x:c>
      <x:c r="D30" s="23" t="str">
        <x:v>普及</x:v>
      </x:c>
      <x:c r="E30" s="23" t="n">
        <x:v>1</x:v>
      </x:c>
      <x:c r="F30" s="70" t="n">
        <x:v>1</x:v>
      </x:c>
      <x:c r="G30" s="70" t="n">
        <x:v>1</x:v>
      </x:c>
      <x:c r="H30" s="23" t="str">
        <x:v>run_VQxLmXCpVXxHywfR</x:v>
      </x:c>
      <x:c r="I30" s="23" t="str">
        <x:v>run_VQxLmXCpVXxHywfR</x:v>
      </x:c>
      <x:c r="J30" s="23" t="str">
        <x:v>run_VQxLmXCpVXxHywfR</x:v>
      </x:c>
      <x:c r="K30" s="23" t="n">
        <x:v>1</x:v>
      </x:c>
      <x:c r="L30" s="23" t="n">
        <x:v>1</x:v>
      </x:c>
      <x:c r="M30" s="23" t="n">
        <x:v>1</x:v>
      </x:c>
      <x:c r="N30" s="23" t="str">
        <x:v>COMPLETED</x:v>
      </x:c>
      <x:c r="O30" s="23" t="str">
        <x:v>data/manifests/noip2014_senior/noip2014_senior_road.json</x:v>
      </x:c>
    </x:row>
    <x:row r="31">
      <x:c r="A31" s="23" t="str">
        <x:v>noip2014_senior_rps</x:v>
      </x:c>
      <x:c r="B31" s="23" t="str">
        <x:v>生活大爆炸版石头剪刀布</x:v>
      </x:c>
      <x:c r="C31" s="23" t="str">
        <x:v>noip2014_senior</x:v>
      </x:c>
      <x:c r="D31" s="23" t="str">
        <x:v>普及−</x:v>
      </x:c>
      <x:c r="E31" s="23" t="n">
        <x:v>1</x:v>
      </x:c>
      <x:c r="F31" s="70" t="n">
        <x:v>1</x:v>
      </x:c>
      <x:c r="G31" s="70" t="n">
        <x:v>1</x:v>
      </x:c>
      <x:c r="H31" s="23" t="str">
        <x:v>run_v1Mdcn5kOf9gYk92</x:v>
      </x:c>
      <x:c r="I31" s="23" t="str">
        <x:v>run_v1Mdcn5kOf9gYk92</x:v>
      </x:c>
      <x:c r="J31" s="23" t="str">
        <x:v>run_v1Mdcn5kOf9gYk92</x:v>
      </x:c>
      <x:c r="K31" s="23" t="n">
        <x:v>1</x:v>
      </x:c>
      <x:c r="L31" s="23" t="n">
        <x:v>1</x:v>
      </x:c>
      <x:c r="M31" s="23" t="n">
        <x:v>1</x:v>
      </x:c>
      <x:c r="N31" s="23" t="str">
        <x:v>COMPLETED</x:v>
      </x:c>
      <x:c r="O31" s="23" t="str">
        <x:v>data/manifests/noip2014_senior/noip2014_senior_rps.json</x:v>
      </x:c>
    </x:row>
    <x:row r="32">
      <x:c r="A32" s="23" t="str">
        <x:v>noip2014_senior_wireless</x:v>
      </x:c>
      <x:c r="B32" s="23" t="str">
        <x:v>无线网络发射器选址</x:v>
      </x:c>
      <x:c r="C32" s="23" t="str">
        <x:v>noip2014_senior</x:v>
      </x:c>
      <x:c r="D32" s="23" t="str">
        <x:v>普及−</x:v>
      </x:c>
      <x:c r="E32" s="23" t="n">
        <x:v>1</x:v>
      </x:c>
      <x:c r="F32" s="70" t="n">
        <x:v>1</x:v>
      </x:c>
      <x:c r="G32" s="70" t="n">
        <x:v>1</x:v>
      </x:c>
      <x:c r="H32" s="23" t="str">
        <x:v>run_rC009fgXKZK0ginn</x:v>
      </x:c>
      <x:c r="I32" s="23" t="str">
        <x:v>run_rC009fgXKZK0ginn</x:v>
      </x:c>
      <x:c r="J32" s="23" t="str">
        <x:v>run_rC009fgXKZK0ginn</x:v>
      </x:c>
      <x:c r="K32" s="23" t="n">
        <x:v>1</x:v>
      </x:c>
      <x:c r="L32" s="23" t="n">
        <x:v>1</x:v>
      </x:c>
      <x:c r="M32" s="23" t="n">
        <x:v>1</x:v>
      </x:c>
      <x:c r="N32" s="23" t="str">
        <x:v>COMPLETED</x:v>
      </x:c>
      <x:c r="O32" s="23" t="str">
        <x:v>data/manifests/noip2014_senior/noip2014_senior_wireless.json</x:v>
      </x:c>
    </x:row>
    <x:row r="33">
      <x:c r="A33" s="23" t="str">
        <x:v>noip2015_junior_coin</x:v>
      </x:c>
      <x:c r="B33" s="23" t="str">
        <x:v>金币</x:v>
      </x:c>
      <x:c r="C33" s="23" t="str">
        <x:v>noip2015_junior</x:v>
      </x:c>
      <x:c r="D33" s="23" t="str">
        <x:v>入门</x:v>
      </x:c>
      <x:c r="E33" s="23" t="n">
        <x:v>1</x:v>
      </x:c>
      <x:c r="F33" s="70" t="n">
        <x:v>1</x:v>
      </x:c>
      <x:c r="G33" s="70" t="n">
        <x:v>1</x:v>
      </x:c>
      <x:c r="H33" s="23" t="str">
        <x:v>run_25X8tgq2qpxb0Yyc</x:v>
      </x:c>
      <x:c r="I33" s="23" t="str">
        <x:v>run_25X8tgq2qpxb0Yyc</x:v>
      </x:c>
      <x:c r="J33" s="23" t="str">
        <x:v>run_25X8tgq2qpxb0Yyc</x:v>
      </x:c>
      <x:c r="K33" s="23" t="n">
        <x:v>1</x:v>
      </x:c>
      <x:c r="L33" s="23" t="n">
        <x:v>1</x:v>
      </x:c>
      <x:c r="M33" s="23" t="n">
        <x:v>1</x:v>
      </x:c>
      <x:c r="N33" s="23" t="str">
        <x:v>COMPLETED</x:v>
      </x:c>
      <x:c r="O33" s="23" t="str">
        <x:v>data/manifests/noip2015_junior/noip2015_junior_coin.json</x:v>
      </x:c>
    </x:row>
    <x:row r="34">
      <x:c r="A34" s="23" t="str">
        <x:v>noip2015_junior_mine</x:v>
      </x:c>
      <x:c r="B34" s="23" t="str">
        <x:v>扫雷游戏</x:v>
      </x:c>
      <x:c r="C34" s="23" t="str">
        <x:v>noip2015_junior</x:v>
      </x:c>
      <x:c r="D34" s="23" t="str">
        <x:v>入门</x:v>
      </x:c>
      <x:c r="E34" s="23" t="n">
        <x:v>1</x:v>
      </x:c>
      <x:c r="F34" s="70" t="n">
        <x:v>1</x:v>
      </x:c>
      <x:c r="G34" s="70" t="n">
        <x:v>1</x:v>
      </x:c>
      <x:c r="H34" s="23" t="str">
        <x:v>run_Qszj6Td6x2mtolG</x:v>
      </x:c>
      <x:c r="I34" s="23" t="str">
        <x:v>run_Qszj6Td6x2mtolG</x:v>
      </x:c>
      <x:c r="J34" s="23" t="str">
        <x:v>run_Qszj6Td6x2mtolG</x:v>
      </x:c>
      <x:c r="K34" s="23" t="n">
        <x:v>1</x:v>
      </x:c>
      <x:c r="L34" s="23" t="n">
        <x:v>1</x:v>
      </x:c>
      <x:c r="M34" s="23" t="n">
        <x:v>1</x:v>
      </x:c>
      <x:c r="N34" s="23" t="str">
        <x:v>COMPLETED</x:v>
      </x:c>
      <x:c r="O34" s="23" t="str">
        <x:v>data/manifests/noip2015_junior/noip2015_junior_mine.json</x:v>
      </x:c>
    </x:row>
    <x:row r="35">
      <x:c r="A35" s="23" t="str">
        <x:v>noip2015_junior_salesman</x:v>
      </x:c>
      <x:c r="B35" s="23" t="str">
        <x:v>推销员</x:v>
      </x:c>
      <x:c r="C35" s="23" t="str">
        <x:v>noip2015_junior</x:v>
      </x:c>
      <x:c r="D35" s="23" t="str">
        <x:v>提高</x:v>
      </x:c>
      <x:c r="E35" s="23" t="n">
        <x:v>1</x:v>
      </x:c>
      <x:c r="F35" s="70" t="n">
        <x:v>1</x:v>
      </x:c>
      <x:c r="G35" s="70" t="n">
        <x:v>0</x:v>
      </x:c>
      <x:c r="H35" s="23" t="str">
        <x:v>run_lJID6kaMN6PY4F</x:v>
      </x:c>
      <x:c r="I35" s="23"/>
      <x:c r="J35" s="23" t="str">
        <x:v>run_lJID6kaMN6PY4F</x:v>
      </x:c>
      <x:c r="K35" s="23" t="n">
        <x:v>1</x:v>
      </x:c>
      <x:c r="L35" s="23" t="n">
        <x:v>0</x:v>
      </x:c>
      <x:c r="M35" s="23" t="n">
        <x:v>0</x:v>
      </x:c>
      <x:c r="N35" s="23" t="str">
        <x:v>MAX_ROUNDS</x:v>
      </x:c>
      <x:c r="O35" s="23" t="str">
        <x:v>data/manifests/noip2015_junior/noip2015_junior_salesman.json</x:v>
      </x:c>
    </x:row>
    <x:row r="36">
      <x:c r="A36" s="23" t="str">
        <x:v>noip2015_junior_sum</x:v>
      </x:c>
      <x:c r="B36" s="23" t="str">
        <x:v>求和</x:v>
      </x:c>
      <x:c r="C36" s="23" t="str">
        <x:v>noip2015_junior</x:v>
      </x:c>
      <x:c r="D36" s="23" t="str">
        <x:v>普及+/提高−</x:v>
      </x:c>
      <x:c r="E36" s="23" t="n">
        <x:v>1</x:v>
      </x:c>
      <x:c r="F36" s="70" t="n">
        <x:v>1</x:v>
      </x:c>
      <x:c r="G36" s="70" t="n">
        <x:v>1</x:v>
      </x:c>
      <x:c r="H36" s="23" t="str">
        <x:v>run_ViFvJ38WqBQd6vF</x:v>
      </x:c>
      <x:c r="I36" s="23" t="str">
        <x:v>run_ViFvJ38WqBQd6vF</x:v>
      </x:c>
      <x:c r="J36" s="23" t="str">
        <x:v>run_ViFvJ38WqBQd6vF</x:v>
      </x:c>
      <x:c r="K36" s="23" t="n">
        <x:v>1</x:v>
      </x:c>
      <x:c r="L36" s="23" t="n">
        <x:v>1</x:v>
      </x:c>
      <x:c r="M36" s="23" t="n">
        <x:v>1</x:v>
      </x:c>
      <x:c r="N36" s="23" t="str">
        <x:v>COMPLETED</x:v>
      </x:c>
      <x:c r="O36" s="23" t="str">
        <x:v>data/manifests/noip2015_junior/noip2015_junior_sum.json</x:v>
      </x:c>
    </x:row>
    <x:row r="37">
      <x:c r="A37" s="23" t="str">
        <x:v>noip2015_senior_landlords</x:v>
      </x:c>
      <x:c r="B37" s="23" t="str">
        <x:v>斗地主</x:v>
      </x:c>
      <x:c r="C37" s="23" t="str">
        <x:v>noip2015_senior</x:v>
      </x:c>
      <x:c r="D37" s="23" t="str">
        <x:v>提高</x:v>
      </x:c>
      <x:c r="E37" s="23" t="n">
        <x:v>1</x:v>
      </x:c>
      <x:c r="F37" s="70" t="n">
        <x:v>1</x:v>
      </x:c>
      <x:c r="G37" s="70" t="n">
        <x:v>0</x:v>
      </x:c>
      <x:c r="H37" s="23" t="str">
        <x:v>run_x9TrdvwNh7zDpLd</x:v>
      </x:c>
      <x:c r="I37" s="23"/>
      <x:c r="J37" s="23" t="str">
        <x:v>run_x9TrdvwNh7zDpLd</x:v>
      </x:c>
      <x:c r="K37" s="23" t="n">
        <x:v>1</x:v>
      </x:c>
      <x:c r="L37" s="23" t="n">
        <x:v>0</x:v>
      </x:c>
      <x:c r="M37" s="23" t="n">
        <x:v>0</x:v>
      </x:c>
      <x:c r="N37" s="23" t="str">
        <x:v>STALLED</x:v>
      </x:c>
      <x:c r="O37" s="23" t="str">
        <x:v>data/manifests/noip2015_senior/noip2015_senior_landlords.json</x:v>
      </x:c>
    </x:row>
    <x:row r="38">
      <x:c r="A38" s="23" t="str">
        <x:v>noip2015_senior_magic</x:v>
      </x:c>
      <x:c r="B38" s="23" t="str">
        <x:v>神奇的幻方</x:v>
      </x:c>
      <x:c r="C38" s="23" t="str">
        <x:v>noip2015_senior</x:v>
      </x:c>
      <x:c r="D38" s="23" t="str">
        <x:v>普及−</x:v>
      </x:c>
      <x:c r="E38" s="23" t="n">
        <x:v>1</x:v>
      </x:c>
      <x:c r="F38" s="70" t="n">
        <x:v>1</x:v>
      </x:c>
      <x:c r="G38" s="70" t="n">
        <x:v>1</x:v>
      </x:c>
      <x:c r="H38" s="23" t="str">
        <x:v>run_0eXr027v9hiob9R</x:v>
      </x:c>
      <x:c r="I38" s="23" t="str">
        <x:v>run_0eXr027v9hiob9R</x:v>
      </x:c>
      <x:c r="J38" s="23" t="str">
        <x:v>run_0eXr027v9hiob9R</x:v>
      </x:c>
      <x:c r="K38" s="23" t="n">
        <x:v>1</x:v>
      </x:c>
      <x:c r="L38" s="23" t="n">
        <x:v>1</x:v>
      </x:c>
      <x:c r="M38" s="23" t="n">
        <x:v>1</x:v>
      </x:c>
      <x:c r="N38" s="23" t="str">
        <x:v>COMPLETED</x:v>
      </x:c>
      <x:c r="O38" s="23" t="str">
        <x:v>data/manifests/noip2015_senior/noip2015_senior_magic.json</x:v>
      </x:c>
    </x:row>
    <x:row r="39">
      <x:c r="A39" s="23" t="str">
        <x:v>noip2015_senior_message</x:v>
      </x:c>
      <x:c r="B39" s="23" t="str">
        <x:v>信息传递</x:v>
      </x:c>
      <x:c r="C39" s="23" t="str">
        <x:v>noip2015_senior</x:v>
      </x:c>
      <x:c r="D39" s="23" t="str">
        <x:v>普及</x:v>
      </x:c>
      <x:c r="E39" s="23" t="n">
        <x:v>1</x:v>
      </x:c>
      <x:c r="F39" s="70" t="n">
        <x:v>1</x:v>
      </x:c>
      <x:c r="G39" s="70" t="n">
        <x:v>1</x:v>
      </x:c>
      <x:c r="H39" s="23" t="str">
        <x:v>run_pIvid6bvH23GS</x:v>
      </x:c>
      <x:c r="I39" s="23" t="str">
        <x:v>run_pIvid6bvH23GS</x:v>
      </x:c>
      <x:c r="J39" s="23" t="str">
        <x:v>run_pIvid6bvH23GS</x:v>
      </x:c>
      <x:c r="K39" s="23" t="n">
        <x:v>1</x:v>
      </x:c>
      <x:c r="L39" s="23" t="n">
        <x:v>1</x:v>
      </x:c>
      <x:c r="M39" s="23" t="n">
        <x:v>1</x:v>
      </x:c>
      <x:c r="N39" s="23" t="str">
        <x:v>COMPLETED</x:v>
      </x:c>
      <x:c r="O39" s="23" t="str">
        <x:v>data/manifests/noip2015_senior/noip2015_senior_message.json</x:v>
      </x:c>
    </x:row>
    <x:row r="40">
      <x:c r="A40" s="23" t="str">
        <x:v>noip2015_senior_stone</x:v>
      </x:c>
      <x:c r="B40" s="23" t="str">
        <x:v>跳石头</x:v>
      </x:c>
      <x:c r="C40" s="23" t="str">
        <x:v>noip2015_senior</x:v>
      </x:c>
      <x:c r="D40" s="23" t="str">
        <x:v>普及</x:v>
      </x:c>
      <x:c r="E40" s="23" t="n">
        <x:v>1</x:v>
      </x:c>
      <x:c r="F40" s="70" t="n">
        <x:v>1</x:v>
      </x:c>
      <x:c r="G40" s="70" t="n">
        <x:v>1</x:v>
      </x:c>
      <x:c r="H40" s="23" t="str">
        <x:v>run_v8gEKqOpVkcw7F12</x:v>
      </x:c>
      <x:c r="I40" s="23" t="str">
        <x:v>run_v8gEKqOpVkcw7F12</x:v>
      </x:c>
      <x:c r="J40" s="23" t="str">
        <x:v>run_v8gEKqOpVkcw7F12</x:v>
      </x:c>
      <x:c r="K40" s="23" t="n">
        <x:v>1</x:v>
      </x:c>
      <x:c r="L40" s="23" t="n">
        <x:v>1</x:v>
      </x:c>
      <x:c r="M40" s="23" t="n">
        <x:v>1</x:v>
      </x:c>
      <x:c r="N40" s="23" t="str">
        <x:v>COMPLETED</x:v>
      </x:c>
      <x:c r="O40" s="23" t="str">
        <x:v>data/manifests/noip2015_senior/noip2015_senior_stone.json</x:v>
      </x:c>
    </x:row>
    <x:row r="41">
      <x:c r="A41" s="23" t="str">
        <x:v>noip2015_senior_substring</x:v>
      </x:c>
      <x:c r="B41" s="23" t="str">
        <x:v>子串</x:v>
      </x:c>
      <x:c r="C41" s="23" t="str">
        <x:v>noip2015_senior</x:v>
      </x:c>
      <x:c r="D41" s="23" t="str">
        <x:v>普及+/提高−</x:v>
      </x:c>
      <x:c r="E41" s="23" t="n">
        <x:v>1</x:v>
      </x:c>
      <x:c r="F41" s="70" t="n">
        <x:v>1</x:v>
      </x:c>
      <x:c r="G41" s="70" t="n">
        <x:v>1</x:v>
      </x:c>
      <x:c r="H41" s="23" t="str">
        <x:v>run_UKSNvkuV5T1IOmGH</x:v>
      </x:c>
      <x:c r="I41" s="23" t="str">
        <x:v>run_UKSNvkuV5T1IOmGH</x:v>
      </x:c>
      <x:c r="J41" s="23" t="str">
        <x:v>run_UKSNvkuV5T1IOmGH</x:v>
      </x:c>
      <x:c r="K41" s="23" t="n">
        <x:v>1</x:v>
      </x:c>
      <x:c r="L41" s="23" t="n">
        <x:v>1</x:v>
      </x:c>
      <x:c r="M41" s="23" t="n">
        <x:v>1</x:v>
      </x:c>
      <x:c r="N41" s="23" t="str">
        <x:v>COMPLETED</x:v>
      </x:c>
      <x:c r="O41" s="23" t="str">
        <x:v>data/manifests/noip2015_senior/noip2015_senior_substring.json</x:v>
      </x:c>
    </x:row>
    <x:row r="42">
      <x:c r="A42" s="23" t="str">
        <x:v>noip2015_senior_transport</x:v>
      </x:c>
      <x:c r="B42" s="23" t="str">
        <x:v>运输计划</x:v>
      </x:c>
      <x:c r="C42" s="23" t="str">
        <x:v>noip2015_senior</x:v>
      </x:c>
      <x:c r="D42" s="23" t="str">
        <x:v>提高</x:v>
      </x:c>
      <x:c r="E42" s="23" t="n">
        <x:v>1</x:v>
      </x:c>
      <x:c r="F42" s="70" t="n">
        <x:v>1</x:v>
      </x:c>
      <x:c r="G42" s="70" t="n">
        <x:v>1</x:v>
      </x:c>
      <x:c r="H42" s="23" t="str">
        <x:v>run_1daD1gXeoRNWm57J</x:v>
      </x:c>
      <x:c r="I42" s="23" t="str">
        <x:v>run_1daD1gXeoRNWm57J</x:v>
      </x:c>
      <x:c r="J42" s="23" t="str">
        <x:v>run_1daD1gXeoRNWm57J</x:v>
      </x:c>
      <x:c r="K42" s="23" t="n">
        <x:v>1</x:v>
      </x:c>
      <x:c r="L42" s="23" t="n">
        <x:v>1</x:v>
      </x:c>
      <x:c r="M42" s="23" t="n">
        <x:v>1</x:v>
      </x:c>
      <x:c r="N42" s="23" t="str">
        <x:v>COMPLETED</x:v>
      </x:c>
      <x:c r="O42" s="23" t="str">
        <x:v>data/manifests/noip2015_senior/noip2015_senior_transport.json</x:v>
      </x:c>
    </x:row>
    <x:row r="43">
      <x:c r="A43" s="23" t="str">
        <x:v>noip2016_junior_date</x:v>
      </x:c>
      <x:c r="B43" s="23" t="str">
        <x:v>回文日期</x:v>
      </x:c>
      <x:c r="C43" s="23" t="str">
        <x:v>noip2016_junior</x:v>
      </x:c>
      <x:c r="D43" s="23" t="str">
        <x:v>普及−</x:v>
      </x:c>
      <x:c r="E43" s="23" t="n">
        <x:v>1</x:v>
      </x:c>
      <x:c r="F43" s="70" t="n">
        <x:v>1</x:v>
      </x:c>
      <x:c r="G43" s="70" t="n">
        <x:v>1</x:v>
      </x:c>
      <x:c r="H43" s="23" t="str">
        <x:v>run_vcHjYi4YneuEcoc</x:v>
      </x:c>
      <x:c r="I43" s="23" t="str">
        <x:v>run_vcHjYi4YneuEcoc</x:v>
      </x:c>
      <x:c r="J43" s="23" t="str">
        <x:v>run_vcHjYi4YneuEcoc</x:v>
      </x:c>
      <x:c r="K43" s="23" t="n">
        <x:v>1</x:v>
      </x:c>
      <x:c r="L43" s="23" t="n">
        <x:v>1</x:v>
      </x:c>
      <x:c r="M43" s="23" t="n">
        <x:v>1</x:v>
      </x:c>
      <x:c r="N43" s="23" t="str">
        <x:v>COMPLETED</x:v>
      </x:c>
      <x:c r="O43" s="23" t="str">
        <x:v>data/manifests/noip2016_junior/noip2016_junior_date.json</x:v>
      </x:c>
    </x:row>
    <x:row r="44">
      <x:c r="A44" s="23" t="str">
        <x:v>noip2016_junior_magic</x:v>
      </x:c>
      <x:c r="B44" s="23" t="str">
        <x:v>魔法阵</x:v>
      </x:c>
      <x:c r="C44" s="23" t="str">
        <x:v>noip2016_junior</x:v>
      </x:c>
      <x:c r="D44" s="23" t="str">
        <x:v>普及+/提高−</x:v>
      </x:c>
      <x:c r="E44" s="23" t="n">
        <x:v>1</x:v>
      </x:c>
      <x:c r="F44" s="70" t="n">
        <x:v>1</x:v>
      </x:c>
      <x:c r="G44" s="70" t="n">
        <x:v>1</x:v>
      </x:c>
      <x:c r="H44" s="23" t="str">
        <x:v>run_aI26zu6L1yVpXpr</x:v>
      </x:c>
      <x:c r="I44" s="23" t="str">
        <x:v>run_aI26zu6L1yVpXpr</x:v>
      </x:c>
      <x:c r="J44" s="23" t="str">
        <x:v>run_aI26zu6L1yVpXpr</x:v>
      </x:c>
      <x:c r="K44" s="23" t="n">
        <x:v>1</x:v>
      </x:c>
      <x:c r="L44" s="23" t="n">
        <x:v>1</x:v>
      </x:c>
      <x:c r="M44" s="23" t="n">
        <x:v>1</x:v>
      </x:c>
      <x:c r="N44" s="23" t="str">
        <x:v>COMPLETED</x:v>
      </x:c>
      <x:c r="O44" s="23" t="str">
        <x:v>data/manifests/noip2016_junior/noip2016_junior_magic.json</x:v>
      </x:c>
    </x:row>
    <x:row r="45">
      <x:c r="A45" s="23" t="str">
        <x:v>noip2016_junior_pencil</x:v>
      </x:c>
      <x:c r="B45" s="23" t="str">
        <x:v>买铅笔</x:v>
      </x:c>
      <x:c r="C45" s="23" t="str">
        <x:v>noip2016_junior</x:v>
      </x:c>
      <x:c r="D45" s="23" t="str">
        <x:v>入门</x:v>
      </x:c>
      <x:c r="E45" s="23" t="n">
        <x:v>1</x:v>
      </x:c>
      <x:c r="F45" s="70" t="n">
        <x:v>1</x:v>
      </x:c>
      <x:c r="G45" s="70" t="n">
        <x:v>1</x:v>
      </x:c>
      <x:c r="H45" s="23" t="str">
        <x:v>run_38hzQ4lU1qvvdKDt</x:v>
      </x:c>
      <x:c r="I45" s="23" t="str">
        <x:v>run_38hzQ4lU1qvvdKDt</x:v>
      </x:c>
      <x:c r="J45" s="23" t="str">
        <x:v>run_38hzQ4lU1qvvdKDt</x:v>
      </x:c>
      <x:c r="K45" s="23" t="n">
        <x:v>1</x:v>
      </x:c>
      <x:c r="L45" s="23" t="n">
        <x:v>1</x:v>
      </x:c>
      <x:c r="M45" s="23" t="n">
        <x:v>1</x:v>
      </x:c>
      <x:c r="N45" s="23" t="str">
        <x:v>COMPLETED</x:v>
      </x:c>
      <x:c r="O45" s="23" t="str">
        <x:v>data/manifests/noip2016_junior/noip2016_junior_pencil.json</x:v>
      </x:c>
    </x:row>
    <x:row r="46">
      <x:c r="A46" s="23" t="str">
        <x:v>noip2016_junior_port</x:v>
      </x:c>
      <x:c r="B46" s="23" t="str">
        <x:v>海港</x:v>
      </x:c>
      <x:c r="C46" s="23" t="str">
        <x:v>noip2016_junior</x:v>
      </x:c>
      <x:c r="D46" s="23" t="str">
        <x:v>普及</x:v>
      </x:c>
      <x:c r="E46" s="23" t="n">
        <x:v>1</x:v>
      </x:c>
      <x:c r="F46" s="70" t="n">
        <x:v>1</x:v>
      </x:c>
      <x:c r="G46" s="70" t="n">
        <x:v>1</x:v>
      </x:c>
      <x:c r="H46" s="23" t="str">
        <x:v>run_0IsBDJa58dKOJfHi</x:v>
      </x:c>
      <x:c r="I46" s="23" t="str">
        <x:v>run_0IsBDJa58dKOJfHi</x:v>
      </x:c>
      <x:c r="J46" s="23" t="str">
        <x:v>run_0IsBDJa58dKOJfHi</x:v>
      </x:c>
      <x:c r="K46" s="23" t="n">
        <x:v>1</x:v>
      </x:c>
      <x:c r="L46" s="23" t="n">
        <x:v>1</x:v>
      </x:c>
      <x:c r="M46" s="23" t="n">
        <x:v>1</x:v>
      </x:c>
      <x:c r="N46" s="23" t="str">
        <x:v>COMPLETED</x:v>
      </x:c>
      <x:c r="O46" s="23" t="str">
        <x:v>data/manifests/noip2016_junior/noip2016_junior_port.json</x:v>
      </x:c>
    </x:row>
    <x:row r="47">
      <x:c r="A47" s="23" t="str">
        <x:v>noip2016_senior_angrybirds</x:v>
      </x:c>
      <x:c r="B47" s="23" t="str">
        <x:v>愤怒的小鸟</x:v>
      </x:c>
      <x:c r="C47" s="23" t="str">
        <x:v>noip2016_senior</x:v>
      </x:c>
      <x:c r="D47" s="23" t="str">
        <x:v>提高</x:v>
      </x:c>
      <x:c r="E47" s="23" t="n">
        <x:v>1</x:v>
      </x:c>
      <x:c r="F47" s="70" t="n">
        <x:v>0</x:v>
      </x:c>
      <x:c r="G47" s="70" t="n">
        <x:v>0</x:v>
      </x:c>
      <x:c r="H47" s="23"/>
      <x:c r="I47" s="23"/>
      <x:c r="J47" s="23" t="str">
        <x:v>run_02P4gM2cIubohU</x:v>
      </x:c>
      <x:c r="K47" s="23" t="n">
        <x:v>0</x:v>
      </x:c>
      <x:c r="L47" s="23" t="n">
        <x:v>0</x:v>
      </x:c>
      <x:c r="M47" s="23" t="n">
        <x:v>0</x:v>
      </x:c>
      <x:c r="N47" s="23" t="str">
        <x:v>STALLED</x:v>
      </x:c>
      <x:c r="O47" s="23" t="str">
        <x:v>data/manifests/noip2016_senior/noip2016_senior_angrybirds.json</x:v>
      </x:c>
    </x:row>
    <x:row r="48">
      <x:c r="A48" s="23" t="str">
        <x:v>noip2016_senior_earthworm</x:v>
      </x:c>
      <x:c r="B48" s="23" t="str">
        <x:v>蚯蚓</x:v>
      </x:c>
      <x:c r="C48" s="23" t="str">
        <x:v>noip2016_senior</x:v>
      </x:c>
      <x:c r="D48" s="23" t="str">
        <x:v>提高</x:v>
      </x:c>
      <x:c r="E48" s="23" t="n">
        <x:v>1</x:v>
      </x:c>
      <x:c r="F48" s="70" t="n">
        <x:v>1</x:v>
      </x:c>
      <x:c r="G48" s="70" t="n">
        <x:v>1</x:v>
      </x:c>
      <x:c r="H48" s="23" t="str">
        <x:v>run_99cJxBllXGjBzo7B</x:v>
      </x:c>
      <x:c r="I48" s="23" t="str">
        <x:v>run_99cJxBllXGjBzo7B</x:v>
      </x:c>
      <x:c r="J48" s="23" t="str">
        <x:v>run_99cJxBllXGjBzo7B</x:v>
      </x:c>
      <x:c r="K48" s="23" t="n">
        <x:v>1</x:v>
      </x:c>
      <x:c r="L48" s="23" t="n">
        <x:v>1</x:v>
      </x:c>
      <x:c r="M48" s="23" t="n">
        <x:v>1</x:v>
      </x:c>
      <x:c r="N48" s="23" t="str">
        <x:v>COMPLETED</x:v>
      </x:c>
      <x:c r="O48" s="23" t="str">
        <x:v>data/manifests/noip2016_senior/noip2016_senior_earthworm.json</x:v>
      </x:c>
    </x:row>
    <x:row r="49">
      <x:c r="A49" s="23" t="str">
        <x:v>noip2016_senior_problem</x:v>
      </x:c>
      <x:c r="B49" s="23" t="str">
        <x:v>组合数问题</x:v>
      </x:c>
      <x:c r="C49" s="23" t="str">
        <x:v>noip2016_senior</x:v>
      </x:c>
      <x:c r="D49" s="23" t="str">
        <x:v>普及</x:v>
      </x:c>
      <x:c r="E49" s="23" t="n">
        <x:v>1</x:v>
      </x:c>
      <x:c r="F49" s="70" t="n">
        <x:v>1</x:v>
      </x:c>
      <x:c r="G49" s="70" t="n">
        <x:v>1</x:v>
      </x:c>
      <x:c r="H49" s="23" t="str">
        <x:v>run_6caACw1IUkzpoaOE</x:v>
      </x:c>
      <x:c r="I49" s="23" t="str">
        <x:v>run_6caACw1IUkzpoaOE</x:v>
      </x:c>
      <x:c r="J49" s="23" t="str">
        <x:v>run_6caACw1IUkzpoaOE</x:v>
      </x:c>
      <x:c r="K49" s="23" t="n">
        <x:v>1</x:v>
      </x:c>
      <x:c r="L49" s="23" t="n">
        <x:v>1</x:v>
      </x:c>
      <x:c r="M49" s="23" t="n">
        <x:v>1</x:v>
      </x:c>
      <x:c r="N49" s="23" t="str">
        <x:v>COMPLETED</x:v>
      </x:c>
      <x:c r="O49" s="23" t="str">
        <x:v>data/manifests/noip2016_senior/noip2016_senior_problem.json</x:v>
      </x:c>
    </x:row>
    <x:row r="50">
      <x:c r="A50" s="23" t="str">
        <x:v>noip2016_senior_running</x:v>
      </x:c>
      <x:c r="B50" s="23" t="str">
        <x:v>天天爱跑步</x:v>
      </x:c>
      <x:c r="C50" s="23" t="str">
        <x:v>noip2016_senior</x:v>
      </x:c>
      <x:c r="D50" s="23" t="str">
        <x:v>省选/NOI−</x:v>
      </x:c>
      <x:c r="E50" s="23" t="n">
        <x:v>1</x:v>
      </x:c>
      <x:c r="F50" s="70" t="n">
        <x:v>1</x:v>
      </x:c>
      <x:c r="G50" s="70" t="n">
        <x:v>0</x:v>
      </x:c>
      <x:c r="H50" s="23" t="str">
        <x:v>run_h8aOaqaYevsrDVh2</x:v>
      </x:c>
      <x:c r="I50" s="23"/>
      <x:c r="J50" s="23" t="str">
        <x:v>run_h8aOaqaYevsrDVh2</x:v>
      </x:c>
      <x:c r="K50" s="23" t="n">
        <x:v>1</x:v>
      </x:c>
      <x:c r="L50" s="23" t="n">
        <x:v>0</x:v>
      </x:c>
      <x:c r="M50" s="23" t="n">
        <x:v>0</x:v>
      </x:c>
      <x:c r="N50" s="23" t="str">
        <x:v>STALLED</x:v>
      </x:c>
      <x:c r="O50" s="23" t="str">
        <x:v>data/manifests/noip2016_senior/noip2016_senior_running.json</x:v>
      </x:c>
    </x:row>
    <x:row r="51">
      <x:c r="A51" s="23" t="str">
        <x:v>noip2016_senior_toy</x:v>
      </x:c>
      <x:c r="B51" s="23" t="str">
        <x:v>玩具谜题</x:v>
      </x:c>
      <x:c r="C51" s="23" t="str">
        <x:v>noip2016_senior</x:v>
      </x:c>
      <x:c r="D51" s="23" t="str">
        <x:v>普及−</x:v>
      </x:c>
      <x:c r="E51" s="23" t="n">
        <x:v>1</x:v>
      </x:c>
      <x:c r="F51" s="70" t="n">
        <x:v>1</x:v>
      </x:c>
      <x:c r="G51" s="70" t="n">
        <x:v>1</x:v>
      </x:c>
      <x:c r="H51" s="23" t="str">
        <x:v>run_VnsdgSApQFhN5aR9</x:v>
      </x:c>
      <x:c r="I51" s="23" t="str">
        <x:v>run_VnsdgSApQFhN5aR9</x:v>
      </x:c>
      <x:c r="J51" s="23" t="str">
        <x:v>run_VnsdgSApQFhN5aR9</x:v>
      </x:c>
      <x:c r="K51" s="23" t="n">
        <x:v>1</x:v>
      </x:c>
      <x:c r="L51" s="23" t="n">
        <x:v>1</x:v>
      </x:c>
      <x:c r="M51" s="23" t="n">
        <x:v>1</x:v>
      </x:c>
      <x:c r="N51" s="23" t="str">
        <x:v>COMPLETED</x:v>
      </x:c>
      <x:c r="O51" s="23" t="str">
        <x:v>data/manifests/noip2016_senior/noip2016_senior_toy.json</x:v>
      </x:c>
    </x:row>
    <x:row r="52">
      <x:c r="A52" s="23" t="str">
        <x:v>noip2020_senior_string</x:v>
      </x:c>
      <x:c r="B52" s="23" t="str">
        <x:v>字符串匹配</x:v>
      </x:c>
      <x:c r="C52" s="23" t="str">
        <x:v>noip2020_senior</x:v>
      </x:c>
      <x:c r="D52" s="23" t="str">
        <x:v>提高+/省选−</x:v>
      </x:c>
      <x:c r="E52" s="23" t="n">
        <x:v>1</x:v>
      </x:c>
      <x:c r="F52" s="70" t="n">
        <x:v>1</x:v>
      </x:c>
      <x:c r="G52" s="70" t="n">
        <x:v>1</x:v>
      </x:c>
      <x:c r="H52" s="23" t="str">
        <x:v>run_Y7Ys6c6YegTHoMdR</x:v>
      </x:c>
      <x:c r="I52" s="23" t="str">
        <x:v>run_Y7Ys6c6YegTHoMdR</x:v>
      </x:c>
      <x:c r="J52" s="23" t="str">
        <x:v>run_Y7Ys6c6YegTHoMdR</x:v>
      </x:c>
      <x:c r="K52" s="23" t="n">
        <x:v>1</x:v>
      </x:c>
      <x:c r="L52" s="23" t="n">
        <x:v>1</x:v>
      </x:c>
      <x:c r="M52" s="23" t="n">
        <x:v>1</x:v>
      </x:c>
      <x:c r="N52" s="23" t="str">
        <x:v>COMPLETED</x:v>
      </x:c>
      <x:c r="O52" s="23" t="str">
        <x:v>data/manifests/noip2020_senior/noip2020_senior_string.json</x:v>
      </x:c>
    </x:row>
    <x:row r="53">
      <x:c r="A53" s="23" t="str">
        <x:v>noip2020_senior_walk</x:v>
      </x:c>
      <x:c r="B53" s="23" t="str">
        <x:v>微信步数</x:v>
      </x:c>
      <x:c r="C53" s="23" t="str">
        <x:v>noip2020_senior</x:v>
      </x:c>
      <x:c r="D53" s="23" t="str">
        <x:v>省选/NOI−</x:v>
      </x:c>
      <x:c r="E53" s="23" t="n">
        <x:v>1</x:v>
      </x:c>
      <x:c r="F53" s="70" t="n">
        <x:v>1</x:v>
      </x:c>
      <x:c r="G53" s="70" t="n">
        <x:v>0</x:v>
      </x:c>
      <x:c r="H53" s="23" t="str">
        <x:v>run_Zz2mU8cRtRzOpZIt</x:v>
      </x:c>
      <x:c r="I53" s="23"/>
      <x:c r="J53" s="23" t="str">
        <x:v>run_Zz2mU8cRtRzOpZIt</x:v>
      </x:c>
      <x:c r="K53" s="23" t="n">
        <x:v>1</x:v>
      </x:c>
      <x:c r="L53" s="23" t="n">
        <x:v>0</x:v>
      </x:c>
      <x:c r="M53" s="23" t="n">
        <x:v>0</x:v>
      </x:c>
      <x:c r="N53" s="23" t="str">
        <x:v>STALLED</x:v>
      </x:c>
      <x:c r="O53" s="23" t="str">
        <x:v>data/manifests/noip2020_senior/noip2020_senior_walk.json</x:v>
      </x:c>
    </x:row>
    <x:row r="54">
      <x:c r="A54" s="23" t="str">
        <x:v>noip2020_senior_water</x:v>
      </x:c>
      <x:c r="B54" s="23" t="str">
        <x:v>排水系统</x:v>
      </x:c>
      <x:c r="C54" s="23" t="str">
        <x:v>noip2020_senior</x:v>
      </x:c>
      <x:c r="D54" s="23" t="str">
        <x:v>普及</x:v>
      </x:c>
      <x:c r="E54" s="23" t="n">
        <x:v>1</x:v>
      </x:c>
      <x:c r="F54" s="70" t="n">
        <x:v>1</x:v>
      </x:c>
      <x:c r="G54" s="70" t="n">
        <x:v>1</x:v>
      </x:c>
      <x:c r="H54" s="23" t="str">
        <x:v>run_8QdbRtXFl1h6BVSp</x:v>
      </x:c>
      <x:c r="I54" s="23" t="str">
        <x:v>run_8QdbRtXFl1h6BVSp</x:v>
      </x:c>
      <x:c r="J54" s="23" t="str">
        <x:v>run_8QdbRtXFl1h6BVSp</x:v>
      </x:c>
      <x:c r="K54" s="23" t="n">
        <x:v>1</x:v>
      </x:c>
      <x:c r="L54" s="23" t="n">
        <x:v>1</x:v>
      </x:c>
      <x:c r="M54" s="23" t="n">
        <x:v>1</x:v>
      </x:c>
      <x:c r="N54" s="23" t="str">
        <x:v>COMPLETED</x:v>
      </x:c>
      <x:c r="O54" s="23" t="str">
        <x:v>data/manifests/noip2020_senior/noip2020_senior_water.json</x:v>
      </x:c>
    </x:row>
    <x:row r="55">
      <x:c r="A55" s="23" t="str">
        <x:v>noip2021_senior_chess</x:v>
      </x:c>
      <x:c r="B55" s="23" t="str">
        <x:v>棋局</x:v>
      </x:c>
      <x:c r="C55" s="23" t="str">
        <x:v>noip2021_senior</x:v>
      </x:c>
      <x:c r="D55" s="23" t="str">
        <x:v>NOI/NOI+/CTS</x:v>
      </x:c>
      <x:c r="E55" s="23" t="n">
        <x:v>1</x:v>
      </x:c>
      <x:c r="F55" s="70" t="n">
        <x:v>0</x:v>
      </x:c>
      <x:c r="G55" s="70" t="n">
        <x:v>0</x:v>
      </x:c>
      <x:c r="H55" s="23"/>
      <x:c r="I55" s="23"/>
      <x:c r="J55" s="23" t="str">
        <x:v>run_6lM8esiB5J126bUv</x:v>
      </x:c>
      <x:c r="K55" s="23" t="n">
        <x:v>0</x:v>
      </x:c>
      <x:c r="L55" s="23" t="n">
        <x:v>0</x:v>
      </x:c>
      <x:c r="M55" s="23" t="n">
        <x:v>0</x:v>
      </x:c>
      <x:c r="N55" s="23" t="str">
        <x:v>STALLED</x:v>
      </x:c>
      <x:c r="O55" s="23" t="str">
        <x:v>data/manifests/noip2021_senior/noip2021_senior_chess.json</x:v>
      </x:c>
    </x:row>
    <x:row r="56">
      <x:c r="A56" s="23" t="str">
        <x:v>noip2021_senior_number</x:v>
      </x:c>
      <x:c r="B56" s="23" t="str">
        <x:v>报数</x:v>
      </x:c>
      <x:c r="C56" s="23" t="str">
        <x:v>noip2021_senior</x:v>
      </x:c>
      <x:c r="D56" s="23" t="str">
        <x:v>普及</x:v>
      </x:c>
      <x:c r="E56" s="23" t="n">
        <x:v>1</x:v>
      </x:c>
      <x:c r="F56" s="70" t="n">
        <x:v>1</x:v>
      </x:c>
      <x:c r="G56" s="70" t="n">
        <x:v>1</x:v>
      </x:c>
      <x:c r="H56" s="23" t="str">
        <x:v>run_D72h4ekEJFjHQTp</x:v>
      </x:c>
      <x:c r="I56" s="23" t="str">
        <x:v>run_D72h4ekEJFjHQTp</x:v>
      </x:c>
      <x:c r="J56" s="23" t="str">
        <x:v>run_D72h4ekEJFjHQTp</x:v>
      </x:c>
      <x:c r="K56" s="23" t="n">
        <x:v>1</x:v>
      </x:c>
      <x:c r="L56" s="23" t="n">
        <x:v>1</x:v>
      </x:c>
      <x:c r="M56" s="23" t="n">
        <x:v>1</x:v>
      </x:c>
      <x:c r="N56" s="23" t="str">
        <x:v>COMPLETED</x:v>
      </x:c>
      <x:c r="O56" s="23" t="str">
        <x:v>data/manifests/noip2021_senior/noip2021_senior_number.json</x:v>
      </x:c>
    </x:row>
    <x:row r="57">
      <x:c r="A57" s="23" t="str">
        <x:v>noip2021_senior_sequence</x:v>
      </x:c>
      <x:c r="B57" s="23" t="str">
        <x:v>数列</x:v>
      </x:c>
      <x:c r="C57" s="23" t="str">
        <x:v>noip2021_senior</x:v>
      </x:c>
      <x:c r="D57" s="23" t="str">
        <x:v>提高+/省选−</x:v>
      </x:c>
      <x:c r="E57" s="23" t="n">
        <x:v>1</x:v>
      </x:c>
      <x:c r="F57" s="70" t="n">
        <x:v>1</x:v>
      </x:c>
      <x:c r="G57" s="70" t="n">
        <x:v>1</x:v>
      </x:c>
      <x:c r="H57" s="23" t="str">
        <x:v>run_o8A7R6ftssPziSL</x:v>
      </x:c>
      <x:c r="I57" s="23" t="str">
        <x:v>run_o8A7R6ftssPziSL</x:v>
      </x:c>
      <x:c r="J57" s="23" t="str">
        <x:v>run_o8A7R6ftssPziSL</x:v>
      </x:c>
      <x:c r="K57" s="23" t="n">
        <x:v>1</x:v>
      </x:c>
      <x:c r="L57" s="23" t="n">
        <x:v>1</x:v>
      </x:c>
      <x:c r="M57" s="23" t="n">
        <x:v>1</x:v>
      </x:c>
      <x:c r="N57" s="23" t="str">
        <x:v>COMPLETED</x:v>
      </x:c>
      <x:c r="O57" s="23" t="str">
        <x:v>data/manifests/noip2021_senior/noip2021_senior_sequence.json</x:v>
      </x:c>
    </x:row>
    <x:row r="58">
      <x:c r="A58" s="23" t="str">
        <x:v>noip2021_senior_variance</x:v>
      </x:c>
      <x:c r="B58" s="23" t="str">
        <x:v>方差</x:v>
      </x:c>
      <x:c r="C58" s="23" t="str">
        <x:v>noip2021_senior</x:v>
      </x:c>
      <x:c r="D58" s="23" t="str">
        <x:v>省选/NOI−</x:v>
      </x:c>
      <x:c r="E58" s="23" t="n">
        <x:v>1</x:v>
      </x:c>
      <x:c r="F58" s="70" t="n">
        <x:v>1</x:v>
      </x:c>
      <x:c r="G58" s="70" t="n">
        <x:v>0</x:v>
      </x:c>
      <x:c r="H58" s="23" t="str">
        <x:v>run_F27Sx1IAz3npVTSt</x:v>
      </x:c>
      <x:c r="I58" s="23"/>
      <x:c r="J58" s="23" t="str">
        <x:v>run_F27Sx1IAz3npVTSt</x:v>
      </x:c>
      <x:c r="K58" s="23" t="n">
        <x:v>1</x:v>
      </x:c>
      <x:c r="L58" s="23" t="n">
        <x:v>0</x:v>
      </x:c>
      <x:c r="M58" s="23" t="n">
        <x:v>0</x:v>
      </x:c>
      <x:c r="N58" s="23" t="str">
        <x:v>STALLED</x:v>
      </x:c>
      <x:c r="O58" s="23" t="str">
        <x:v>data/manifests/noip2021_senior/noip2021_senior_variance.json</x:v>
      </x:c>
    </x:row>
    <x:row r="59">
      <x:c r="A59" s="23" t="str">
        <x:v>noip2022_senior_barrack</x:v>
      </x:c>
      <x:c r="B59" s="23" t="str">
        <x:v>建造军营</x:v>
      </x:c>
      <x:c r="C59" s="23" t="str">
        <x:v>noip2022_senior</x:v>
      </x:c>
      <x:c r="D59" s="23" t="str">
        <x:v>提高+/省选−</x:v>
      </x:c>
      <x:c r="E59" s="23" t="n">
        <x:v>1</x:v>
      </x:c>
      <x:c r="F59" s="70" t="n">
        <x:v>1</x:v>
      </x:c>
      <x:c r="G59" s="70" t="n">
        <x:v>1</x:v>
      </x:c>
      <x:c r="H59" s="23" t="str">
        <x:v>run_NTDFmqoRKKpYRFY2</x:v>
      </x:c>
      <x:c r="I59" s="23" t="str">
        <x:v>run_NTDFmqoRKKpYRFY2</x:v>
      </x:c>
      <x:c r="J59" s="23" t="str">
        <x:v>run_NTDFmqoRKKpYRFY2</x:v>
      </x:c>
      <x:c r="K59" s="23" t="n">
        <x:v>1</x:v>
      </x:c>
      <x:c r="L59" s="23" t="n">
        <x:v>1</x:v>
      </x:c>
      <x:c r="M59" s="23" t="n">
        <x:v>1</x:v>
      </x:c>
      <x:c r="N59" s="23" t="str">
        <x:v>COMPLETED</x:v>
      </x:c>
      <x:c r="O59" s="23" t="str">
        <x:v>data/manifests/noip2022_senior/noip2022_senior_barrack.json</x:v>
      </x:c>
    </x:row>
    <x:row r="60">
      <x:c r="A60" s="23" t="str">
        <x:v>noip2022_senior_match</x:v>
      </x:c>
      <x:c r="B60" s="23" t="str">
        <x:v>比赛</x:v>
      </x:c>
      <x:c r="C60" s="23" t="str">
        <x:v>noip2022_senior</x:v>
      </x:c>
      <x:c r="D60" s="23" t="str">
        <x:v>省选/NOI−</x:v>
      </x:c>
      <x:c r="E60" s="23" t="n">
        <x:v>1</x:v>
      </x:c>
      <x:c r="F60" s="70" t="n">
        <x:v>0</x:v>
      </x:c>
      <x:c r="G60" s="70" t="n">
        <x:v>0</x:v>
      </x:c>
      <x:c r="H60" s="23"/>
      <x:c r="I60" s="23"/>
      <x:c r="J60" s="23" t="str">
        <x:v>run_qX6ogDciQmJJIav</x:v>
      </x:c>
      <x:c r="K60" s="23" t="n">
        <x:v>0</x:v>
      </x:c>
      <x:c r="L60" s="23" t="n">
        <x:v>0</x:v>
      </x:c>
      <x:c r="M60" s="23" t="n">
        <x:v>0</x:v>
      </x:c>
      <x:c r="N60" s="23" t="str">
        <x:v>STALLED</x:v>
      </x:c>
      <x:c r="O60" s="23" t="str">
        <x:v>data/manifests/noip2022_senior/noip2022_senior_match.json</x:v>
      </x:c>
    </x:row>
    <x:row r="61">
      <x:c r="A61" s="23" t="str">
        <x:v>noip2022_senior_plant</x:v>
      </x:c>
      <x:c r="B61" s="23" t="str">
        <x:v>种花</x:v>
      </x:c>
      <x:c r="C61" s="23" t="str">
        <x:v>noip2022_senior</x:v>
      </x:c>
      <x:c r="D61" s="23" t="str">
        <x:v>普及+/提高−</x:v>
      </x:c>
      <x:c r="E61" s="23" t="n">
        <x:v>1</x:v>
      </x:c>
      <x:c r="F61" s="70" t="n">
        <x:v>1</x:v>
      </x:c>
      <x:c r="G61" s="70" t="n">
        <x:v>1</x:v>
      </x:c>
      <x:c r="H61" s="23" t="str">
        <x:v>run_ftIlMKTJzO6eGym</x:v>
      </x:c>
      <x:c r="I61" s="23" t="str">
        <x:v>run_ftIlMKTJzO6eGym</x:v>
      </x:c>
      <x:c r="J61" s="23" t="str">
        <x:v>run_ftIlMKTJzO6eGym</x:v>
      </x:c>
      <x:c r="K61" s="23" t="n">
        <x:v>1</x:v>
      </x:c>
      <x:c r="L61" s="23" t="n">
        <x:v>1</x:v>
      </x:c>
      <x:c r="M61" s="23" t="n">
        <x:v>1</x:v>
      </x:c>
      <x:c r="N61" s="23" t="str">
        <x:v>COMPLETED</x:v>
      </x:c>
      <x:c r="O61" s="23" t="str">
        <x:v>data/manifests/noip2022_senior/noip2022_senior_plant.json</x:v>
      </x:c>
    </x:row>
    <x:row r="62">
      <x:c r="A62" s="23" t="str">
        <x:v>road</x:v>
      </x:c>
      <x:c r="B62" s="23" t="str">
        <x:v>铺设道路</x:v>
      </x:c>
      <x:c r="C62" s="23" t="str">
        <x:v>noip2018</x:v>
      </x:c>
      <x:c r="D62" s="23" t="str">
        <x:v>普及</x:v>
      </x:c>
      <x:c r="E62" s="23" t="n">
        <x:v>7</x:v>
      </x:c>
      <x:c r="F62" s="70" t="n">
        <x:v>1</x:v>
      </x:c>
      <x:c r="G62" s="70" t="n">
        <x:v>1</x:v>
      </x:c>
      <x:c r="H62" s="23" t="str">
        <x:v>run_7xCuFaUSouoX3XBx</x:v>
      </x:c>
      <x:c r="I62" s="23" t="str">
        <x:v>run_7xCuFaUSouoX3XBx</x:v>
      </x:c>
      <x:c r="J62" s="23" t="str">
        <x:v>run_Uzytk8n4cDblWHh</x:v>
      </x:c>
      <x:c r="K62" s="23" t="n">
        <x:v>1</x:v>
      </x:c>
      <x:c r="L62" s="23" t="n">
        <x:v>1</x:v>
      </x:c>
      <x:c r="M62" s="23" t="n">
        <x:v>1</x:v>
      </x:c>
      <x:c r="N62" s="23" t="str">
        <x:v>COMPLETED</x:v>
      </x:c>
      <x:c r="O62" s="23" t="str">
        <x:v>data/manifests/noip2018/road.json</x:v>
      </x:c>
    </x:row>
    <x:row r="63">
      <x:c r="A63" s="23" t="str">
        <x:v>track</x:v>
      </x:c>
      <x:c r="B63" s="23" t="str">
        <x:v>赛道修建</x:v>
      </x:c>
      <x:c r="C63" s="23" t="str">
        <x:v>noip2018</x:v>
      </x:c>
      <x:c r="D63" s="23" t="str">
        <x:v>提高</x:v>
      </x:c>
      <x:c r="E63" s="23" t="n">
        <x:v>3</x:v>
      </x:c>
      <x:c r="F63" s="70" t="n">
        <x:v>1</x:v>
      </x:c>
      <x:c r="G63" s="70" t="n">
        <x:v>1</x:v>
      </x:c>
      <x:c r="H63" s="23" t="str">
        <x:v>run_Dwq5kWBqPd8K3Tqb</x:v>
      </x:c>
      <x:c r="I63" s="23" t="str">
        <x:v>run_Dwq5kWBqPd8K3Tqb</x:v>
      </x:c>
      <x:c r="J63" s="23" t="str">
        <x:v>run_R9reSD2WJqZJHWd9</x:v>
      </x:c>
      <x:c r="K63" s="23" t="n">
        <x:v>1</x:v>
      </x:c>
      <x:c r="L63" s="23" t="n">
        <x:v>1</x:v>
      </x:c>
      <x:c r="M63" s="23" t="n">
        <x:v>1</x:v>
      </x:c>
      <x:c r="N63" s="23" t="str">
        <x:v>COMPLETED</x:v>
      </x:c>
      <x:c r="O63" s="23" t="str">
        <x:v>data/manifests/noip2018/track.json</x:v>
      </x:c>
    </x:row>
    <x:row r="64">
      <x:c r="A64" s="25" t="str">
        <x:v>travel</x:v>
      </x:c>
      <x:c r="B64" s="25" t="str">
        <x:v>旅行</x:v>
      </x:c>
      <x:c r="C64" s="25" t="str">
        <x:v>noip2018</x:v>
      </x:c>
      <x:c r="D64" s="25" t="str">
        <x:v>提高</x:v>
      </x:c>
      <x:c r="E64" s="25" t="n">
        <x:v>4</x:v>
      </x:c>
      <x:c r="F64" s="71" t="n">
        <x:v>1</x:v>
      </x:c>
      <x:c r="G64" s="71" t="n">
        <x:v>1</x:v>
      </x:c>
      <x:c r="H64" s="25" t="str">
        <x:v>run_UwgnmhO47m53w6DY</x:v>
      </x:c>
      <x:c r="I64" s="25" t="str">
        <x:v>run_UwgnmhO47m53w6DY</x:v>
      </x:c>
      <x:c r="J64" s="25" t="str">
        <x:v>run_2zlqYfQNpQr4tOSi</x:v>
      </x:c>
      <x:c r="K64" s="25" t="n">
        <x:v>1</x:v>
      </x:c>
      <x:c r="L64" s="25" t="n">
        <x:v>1</x:v>
      </x:c>
      <x:c r="M64" s="25" t="n">
        <x:v>1</x:v>
      </x:c>
      <x:c r="N64" s="25" t="str">
        <x:v>COMPLETED</x:v>
      </x:c>
      <x:c r="O64" s="25" t="str">
        <x:v>data/manifests/noip2018/travel.json</x:v>
      </x:c>
    </x:row>
  </x:sheetData>
  <x:pageMargins left="0.7" right="0.7" top="0.75" bottom="0.75" header="0.3" footer="0.3"/>
  <x:tableParts count="1">
    <x:tablePart xmlns:r="http://schemas.openxmlformats.org/officeDocument/2006/relationships" r:id="R8059a8aec2ca4a39"/>
  </x:tableParts>
</x:worksheet>
</file>

<file path=xl/worksheets/sheet7.xml><?xml version="1.0" encoding="utf-8"?>
<x:worksheet xmlns:x="http://schemas.openxmlformats.org/spreadsheetml/2006/main">
  <x:sheetPr>
    <x:tabColor rgb="FF7A6F61"/>
  </x:sheetPr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口径、来源与复核说明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8" t="str">
        <x:v>核心定义</x:v>
      </x:c>
      <x:c r="B5" s="8"/>
      <x:c r="C5" s="8"/>
      <x:c r="D5" s="8"/>
      <x:c r="E5" s="8"/>
      <x:c r="F5" s="8"/>
      <x:c r="G5" s="8"/>
      <x:c r="H5" s="8"/>
    </x:row>
    <x:row r="6">
      <x:c r="A6" s="21" t="str">
        <x:v>工作流记录</x:v>
      </x:c>
      <x:c r="B6" s="34" t="str">
        <x:v>SQLite status=COMPLETED 且 result_json 可解析；只表示流程结束。</x:v>
      </x:c>
      <x:c r="C6" s="2"/>
      <x:c r="D6" s="2"/>
      <x:c r="E6" s="2"/>
      <x:c r="F6" s="2"/>
      <x:c r="G6" s="2"/>
      <x:c r="H6" s="2"/>
    </x:row>
    <x:row r="7">
      <x:c r="A7" s="23" t="str">
        <x:v>答案正确</x:v>
      </x:c>
      <x:c r="B7" s="35" t="str">
        <x:v>最佳提交的确定性 Judge verdict=AC。</x:v>
      </x:c>
      <x:c r="C7" s="2"/>
      <x:c r="D7" s="2"/>
      <x:c r="E7" s="2"/>
      <x:c r="F7" s="2"/>
      <x:c r="G7" s="2"/>
      <x:c r="H7" s="2"/>
    </x:row>
    <x:row r="8">
      <x:c r="A8" s="23" t="str">
        <x:v>过程正确</x:v>
      </x:c>
      <x:c r="B8" s="35" t="str">
        <x:v>最佳提交融合诊断 process_correct=true。</x:v>
      </x:c>
      <x:c r="C8" s="2"/>
      <x:c r="D8" s="2"/>
      <x:c r="E8" s="2"/>
      <x:c r="F8" s="2"/>
      <x:c r="G8" s="2"/>
      <x:c r="H8" s="2"/>
    </x:row>
    <x:row r="9">
      <x:c r="A9" s="23" t="str">
        <x:v>严格成功</x:v>
      </x:c>
      <x:c r="B9" s="35" t="str">
        <x:v>compile=OK、Judge=AC 且 process_correct=true。</x:v>
      </x:c>
      <x:c r="C9" s="2"/>
      <x:c r="D9" s="2"/>
      <x:c r="E9" s="2"/>
      <x:c r="F9" s="2"/>
      <x:c r="G9" s="2"/>
      <x:c r="H9" s="2"/>
    </x:row>
    <x:row r="10">
      <x:c r="A10" s="25" t="str">
        <x:v>题目覆盖</x:v>
      </x:c>
      <x:c r="B10" s="36" t="str">
        <x:v>每题至少一次历史运行达到条件；不是一次统一抽样的通过率。</x:v>
      </x:c>
      <x:c r="C10" s="2"/>
      <x:c r="D10" s="2"/>
      <x:c r="E10" s="2"/>
      <x:c r="F10" s="2"/>
      <x:c r="G10" s="2"/>
      <x:c r="H10" s="2"/>
    </x:row>
    <x:row r="11">
      <x:c r="A11" s="2"/>
      <x:c r="B11" s="72"/>
      <x:c r="C11" s="2"/>
      <x:c r="D11" s="2"/>
      <x:c r="E11" s="2"/>
      <x:c r="F11" s="2"/>
      <x:c r="G11" s="2"/>
      <x:c r="H11" s="2"/>
    </x:row>
    <x:row r="12">
      <x:c r="A12" s="2"/>
      <x:c r="B12" s="72"/>
      <x:c r="C12" s="2"/>
      <x:c r="D12" s="2"/>
      <x:c r="E12" s="2"/>
      <x:c r="F12" s="2"/>
      <x:c r="G12" s="2"/>
      <x:c r="H12" s="2"/>
    </x:row>
    <x:row r="13">
      <x:c r="A13" s="8" t="str">
        <x:v>数据来源</x:v>
      </x:c>
      <x:c r="B13" s="73"/>
      <x:c r="C13" s="8"/>
      <x:c r="D13" s="8"/>
      <x:c r="E13" s="8"/>
      <x:c r="F13" s="8"/>
      <x:c r="G13" s="8"/>
      <x:c r="H13" s="8"/>
    </x:row>
    <x:row r="14">
      <x:c r="A14" s="21" t="str">
        <x:v>运行数据库</x:v>
      </x:c>
      <x:c r="B14" s="34" t="str">
        <x:v>runs/contestlens.sqlite3（只读快照）</x:v>
      </x:c>
      <x:c r="C14" s="2"/>
      <x:c r="D14" s="2"/>
      <x:c r="E14" s="2"/>
      <x:c r="F14" s="2"/>
      <x:c r="G14" s="2"/>
      <x:c r="H14" s="2"/>
    </x:row>
    <x:row r="15">
      <x:c r="A15" s="23" t="str">
        <x:v>运行产物</x:v>
      </x:c>
      <x:c r="B15" s="35" t="str">
        <x:v>runs/&lt;run_id&gt;/ 下的判题、过程评估、修复轮次与模型调用日志</x:v>
      </x:c>
      <x:c r="C15" s="2"/>
      <x:c r="D15" s="2"/>
      <x:c r="E15" s="2"/>
      <x:c r="F15" s="2"/>
      <x:c r="G15" s="2"/>
      <x:c r="H15" s="2"/>
    </x:row>
    <x:row r="16">
      <x:c r="A16" s="23" t="str">
        <x:v>难度标签</x:v>
      </x:c>
      <x:c r="B16" s="35" t="str">
        <x:v>data/manifests/**/*.json；22 条历史结果使用当前 manifest 回填</x:v>
      </x:c>
      <x:c r="C16" s="2"/>
      <x:c r="D16" s="2"/>
      <x:c r="E16" s="2"/>
      <x:c r="F16" s="2"/>
      <x:c r="G16" s="2"/>
      <x:c r="H16" s="2"/>
    </x:row>
    <x:row r="17">
      <x:c r="A17" s="23" t="str">
        <x:v>活动批次</x:v>
      </x:c>
      <x:c r="B17" s="35" t="str">
        <x:v>campaigns/collection-20260910T103603Z 与 collection-20260911T013612Z</x:v>
      </x:c>
      <x:c r="C17" s="2"/>
      <x:c r="D17" s="2"/>
      <x:c r="E17" s="2"/>
      <x:c r="F17" s="2"/>
      <x:c r="G17" s="2"/>
      <x:c r="H17" s="2"/>
    </x:row>
    <x:row r="18">
      <x:c r="A18" s="23" t="str">
        <x:v>任务要求</x:v>
      </x:c>
      <x:c r="B18" s="35" t="str">
        <x:v>犀牛鸟开源-实战任务-混元大语言模型项目.pdf，第 3-4 页</x:v>
      </x:c>
      <x:c r="C18" s="2"/>
      <x:c r="D18" s="2"/>
      <x:c r="E18" s="2"/>
      <x:c r="F18" s="2"/>
      <x:c r="G18" s="2"/>
      <x:c r="H18" s="2"/>
    </x:row>
    <x:row r="19">
      <x:c r="A19" s="23" t="str">
        <x:v>人工标签</x:v>
      </x:c>
      <x:c r="B19" s="35" t="str">
        <x:v>数据库 annotation_tasks=0、annotations=0、benchmarks=0</x:v>
      </x:c>
      <x:c r="C19" s="2"/>
      <x:c r="D19" s="2"/>
      <x:c r="E19" s="2"/>
      <x:c r="F19" s="2"/>
      <x:c r="G19" s="2"/>
      <x:c r="H19" s="2"/>
    </x:row>
    <x:row r="20">
      <x:c r="A20" s="25" t="str">
        <x:v>生成时间（UTC）</x:v>
      </x:c>
      <x:c r="B20" s="36" t="str">
        <x:v>2026-09-11 07:15:43 UTC</x:v>
      </x:c>
      <x:c r="C20" s="2"/>
      <x:c r="D20" s="2"/>
      <x:c r="E20" s="2"/>
      <x:c r="F20" s="2"/>
      <x:c r="G20" s="2"/>
      <x:c r="H20" s="2"/>
    </x:row>
    <x:row r="21">
      <x:c r="A21" s="2"/>
      <x:c r="B21" s="72"/>
      <x:c r="C21" s="2"/>
      <x:c r="D21" s="2"/>
      <x:c r="E21" s="2"/>
      <x:c r="F21" s="2"/>
      <x:c r="G21" s="2"/>
      <x:c r="H21" s="2"/>
    </x:row>
    <x:row r="22">
      <x:c r="A22" s="2"/>
      <x:c r="B22" s="72"/>
      <x:c r="C22" s="2"/>
      <x:c r="D22" s="2"/>
      <x:c r="E22" s="2"/>
      <x:c r="F22" s="2"/>
      <x:c r="G22" s="2"/>
      <x:c r="H22" s="2"/>
    </x:row>
    <x:row r="23">
      <x:c r="A23" s="8" t="str">
        <x:v>限制与解释边界</x:v>
      </x:c>
      <x:c r="B23" s="73"/>
      <x:c r="C23" s="8"/>
      <x:c r="D23" s="8"/>
      <x:c r="E23" s="8"/>
      <x:c r="F23" s="8"/>
      <x:c r="G23" s="8"/>
      <x:c r="H23" s="8"/>
    </x:row>
    <x:row r="24">
      <x:c r="A24" s="21" t="str">
        <x:v>1</x:v>
      </x:c>
      <x:c r="B24" s="34" t="str">
        <x:v>SQLite 的 COMPLETED 表示工作流结束，不等于答案与过程均正确。</x:v>
      </x:c>
      <x:c r="C24" s="2"/>
      <x:c r="D24" s="2"/>
      <x:c r="E24" s="2"/>
      <x:c r="F24" s="2"/>
      <x:c r="G24" s="2"/>
      <x:c r="H24" s="2"/>
    </x:row>
    <x:row r="25">
      <x:c r="A25" s="23" t="str">
        <x:v>2</x:v>
      </x:c>
      <x:c r="B25" s="35" t="str">
        <x:v>运行级历史表含同题重复运行；问题覆盖率使用至少一次成功口径，不能解释为单次通过率。</x:v>
      </x:c>
      <x:c r="C25" s="2"/>
      <x:c r="D25" s="2"/>
      <x:c r="E25" s="2"/>
      <x:c r="F25" s="2"/>
      <x:c r="G25" s="2"/>
      <x:c r="H25" s="2"/>
    </x:row>
    <x:row r="26">
      <x:c r="A26" s="23" t="str">
        <x:v>3</x:v>
      </x:c>
      <x:c r="B26" s="35" t="str">
        <x:v>22 条历史结果未固化难度，本包使用当前 manifest 回填并保留来源字段。</x:v>
      </x:c>
      <x:c r="C26" s="2"/>
      <x:c r="D26" s="2"/>
      <x:c r="E26" s="2"/>
      <x:c r="F26" s="2"/>
      <x:c r="G26" s="2"/>
      <x:c r="H26" s="2"/>
    </x:row>
    <x:row r="27">
      <x:c r="A27" s="23" t="str">
        <x:v>4</x:v>
      </x:c>
      <x:c r="B27" s="35" t="str">
        <x:v>数据库 annotation_tasks、annotations 和 benchmarks 均为空；官方定位准确率与误报率仍需双人人工盲标。</x:v>
      </x:c>
      <x:c r="C27" s="2"/>
      <x:c r="D27" s="2"/>
      <x:c r="E27" s="2"/>
      <x:c r="F27" s="2"/>
      <x:c r="G27" s="2"/>
      <x:c r="H27" s="2"/>
    </x:row>
    <x:row r="28">
      <x:c r="A28" s="25" t="str">
        <x:v>5</x:v>
      </x:c>
      <x:c r="B28" s="36" t="str">
        <x:v>模型调用 token 只汇总成功返回且带 usage 的日志，不等于精确计费量。</x:v>
      </x:c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</x:sheetData>
  <x:pageMargins left="0.7" right="0.7" top="0.75" bottom="0.75" header="0.3" footer="0.3"/>
</x:worksheet>
</file>